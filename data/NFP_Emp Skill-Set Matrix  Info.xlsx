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hidePivotFieldList="1"/>
  <mc:AlternateContent xmlns:mc="http://schemas.openxmlformats.org/markup-compatibility/2006">
    <mc:Choice Requires="x15">
      <x15ac:absPath xmlns:x15ac="http://schemas.microsoft.com/office/spreadsheetml/2010/11/ac" url="https://one.aon.net/sites/NFPKnowledgeHub/Shared Documents/"/>
    </mc:Choice>
  </mc:AlternateContent>
  <xr:revisionPtr revIDLastSave="0" documentId="8_{880761D0-C0E9-478A-AA5B-46416FC6252A}" xr6:coauthVersionLast="47" xr6:coauthVersionMax="47" xr10:uidLastSave="{00000000-0000-0000-0000-000000000000}"/>
  <bookViews>
    <workbookView xWindow="-110" yWindow="-110" windowWidth="19420" windowHeight="11500" firstSheet="2" activeTab="2" xr2:uid="{D084424F-0BC8-48BA-9CA5-74548D89C047}"/>
  </bookViews>
  <sheets>
    <sheet name="Proc &amp; Work Type details" sheetId="2" r:id="rId1"/>
    <sheet name="Team Structure" sheetId="4" r:id="rId2"/>
    <sheet name="Curr" sheetId="1" r:id="rId3"/>
    <sheet name="Tables" sheetId="5" r:id="rId4"/>
    <sheet name="Process training Matrix" sheetId="6" r:id="rId5"/>
  </sheets>
  <definedNames>
    <definedName name="_xlnm._FilterDatabase" localSheetId="2" hidden="1">Curr!$D$5:$U$181</definedName>
  </definedNames>
  <calcPr calcId="191028"/>
  <pivotCaches>
    <pivotCache cacheId="731" r:id="rId6"/>
    <pivotCache cacheId="732" r:id="rId7"/>
    <pivotCache cacheId="733" r:id="rId8"/>
    <pivotCache cacheId="73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" i="6" l="1"/>
  <c r="I62" i="6"/>
  <c r="K61" i="6"/>
  <c r="J61" i="6"/>
  <c r="I61" i="6"/>
  <c r="I17" i="6"/>
  <c r="J17" i="6"/>
  <c r="J10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6" i="6"/>
  <c r="I16" i="6"/>
  <c r="J15" i="6"/>
  <c r="I15" i="6"/>
  <c r="J14" i="6"/>
  <c r="I14" i="6"/>
  <c r="J13" i="6"/>
  <c r="I13" i="6"/>
  <c r="J12" i="6"/>
  <c r="I12" i="6"/>
  <c r="J11" i="6"/>
  <c r="I11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J2" i="6"/>
  <c r="I2" i="6"/>
  <c r="L19" i="5"/>
  <c r="L18" i="5"/>
  <c r="L17" i="5"/>
  <c r="L16" i="5"/>
  <c r="L9" i="5"/>
  <c r="L8" i="5"/>
  <c r="L7" i="5"/>
  <c r="L6" i="5"/>
  <c r="L5" i="5"/>
  <c r="L4" i="5"/>
  <c r="R18" i="5"/>
  <c r="Q18" i="5"/>
  <c r="P18" i="5"/>
  <c r="R17" i="5"/>
  <c r="Q17" i="5"/>
  <c r="P17" i="5"/>
  <c r="R16" i="5"/>
  <c r="Q16" i="5"/>
  <c r="P16" i="5"/>
  <c r="R15" i="5"/>
  <c r="Q15" i="5"/>
  <c r="P15" i="5"/>
  <c r="R14" i="5"/>
  <c r="Q14" i="5"/>
  <c r="P14" i="5"/>
  <c r="R13" i="5"/>
  <c r="Q13" i="5"/>
  <c r="P13" i="5"/>
  <c r="R12" i="5"/>
  <c r="Q12" i="5"/>
  <c r="P12" i="5"/>
  <c r="R11" i="5"/>
  <c r="Q11" i="5"/>
  <c r="P11" i="5"/>
  <c r="R10" i="5"/>
  <c r="Q10" i="5"/>
  <c r="P10" i="5"/>
  <c r="R9" i="5"/>
  <c r="Q9" i="5"/>
  <c r="P9" i="5"/>
  <c r="R8" i="5"/>
  <c r="Q8" i="5"/>
  <c r="P8" i="5"/>
  <c r="R7" i="5"/>
  <c r="Q7" i="5"/>
  <c r="P7" i="5"/>
  <c r="R6" i="5"/>
  <c r="Q6" i="5"/>
  <c r="P6" i="5"/>
  <c r="R5" i="5"/>
  <c r="Q5" i="5"/>
  <c r="P5" i="5"/>
  <c r="R4" i="5"/>
  <c r="Q4" i="5"/>
  <c r="P4" i="5"/>
  <c r="M19" i="5"/>
  <c r="M18" i="5"/>
  <c r="M17" i="5"/>
  <c r="M16" i="5"/>
</calcChain>
</file>

<file path=xl/sharedStrings.xml><?xml version="1.0" encoding="utf-8"?>
<sst xmlns="http://schemas.openxmlformats.org/spreadsheetml/2006/main" count="5371" uniqueCount="418">
  <si>
    <t>Process​</t>
  </si>
  <si>
    <t>Description​</t>
  </si>
  <si>
    <t>Activities to Transition​</t>
  </si>
  <si>
    <t>Pre Placement​</t>
  </si>
  <si>
    <r>
      <t>Client Discovery</t>
    </r>
    <r>
      <rPr>
        <sz val="11"/>
        <color rgb="FF1C2B39"/>
        <rFont val="Arial"/>
        <family val="2"/>
      </rPr>
      <t>​</t>
    </r>
  </si>
  <si>
    <t>Activities to understand the client’s business, risk profile, coverage needs, and objectives to inform program design and placement strategy​</t>
  </si>
  <si>
    <t>Data Retrieval - Loss Run Management (Carrier Websites)</t>
  </si>
  <si>
    <t>Data Loading / Analytics Support - SOV / Exposure Summary (Excel)</t>
  </si>
  <si>
    <t>Data Loading / Analytics Support - Summary of Insurance (Word / Epic)</t>
  </si>
  <si>
    <t>Data Loading / Analytics Support - Summary of Insurance (Excel)</t>
  </si>
  <si>
    <r>
      <t>Renewal Planning</t>
    </r>
    <r>
      <rPr>
        <sz val="11"/>
        <color rgb="FF1C2B39"/>
        <rFont val="Arial"/>
        <family val="2"/>
      </rPr>
      <t>​</t>
    </r>
  </si>
  <si>
    <t>Planning and coordination of renewal strategy, timelines, data requirements, and market approach to ensure policy renewal​</t>
  </si>
  <si>
    <t>Policy Validation &amp; Endorsement Reconciliation (Epic)</t>
  </si>
  <si>
    <r>
      <t>Submission Creation</t>
    </r>
    <r>
      <rPr>
        <sz val="11"/>
        <color rgb="FF1C2B39"/>
        <rFont val="Arial"/>
        <family val="2"/>
      </rPr>
      <t>​</t>
    </r>
  </si>
  <si>
    <t>Preparation of underwriting submissions, including exposure data, loss history, and supporting documentation, for delivery to insurance markets​</t>
  </si>
  <si>
    <t>Policy Setup / Creation / Submission in Epic</t>
  </si>
  <si>
    <r>
      <t>Pre-filling supplemental applications with prior / existing client or app data</t>
    </r>
    <r>
      <rPr>
        <sz val="11"/>
        <color rgb="FF1C2B39"/>
        <rFont val="Arial"/>
        <family val="2"/>
      </rPr>
      <t>​</t>
    </r>
  </si>
  <si>
    <t>Placement​</t>
  </si>
  <si>
    <r>
      <t>Program Brokering</t>
    </r>
    <r>
      <rPr>
        <sz val="11"/>
        <color rgb="FF1C2B39"/>
        <rFont val="Arial"/>
        <family val="2"/>
      </rPr>
      <t>​</t>
    </r>
  </si>
  <si>
    <t>Marketing of the client’s insurance program to carriers, negotiation of terms and pricing, and coordination of carrier responses to secure optimal coverage​</t>
  </si>
  <si>
    <t>Online Quoting</t>
  </si>
  <si>
    <r>
      <t>Quote Review</t>
    </r>
    <r>
      <rPr>
        <sz val="11"/>
        <color rgb="FF1C2B39"/>
        <rFont val="Arial"/>
        <family val="2"/>
      </rPr>
      <t>​</t>
    </r>
  </si>
  <si>
    <r>
      <t>Comparison of carrier quotes including key policy details (e.g., changes from expiring, form inclusions, edition dates), to identify suitable options for client consideration</t>
    </r>
    <r>
      <rPr>
        <sz val="11"/>
        <color rgb="FF1C2B39"/>
        <rFont val="Arial"/>
        <family val="2"/>
      </rPr>
      <t>​</t>
    </r>
  </si>
  <si>
    <t>Coverage Comparison – Expiring vs Renewal</t>
  </si>
  <si>
    <r>
      <t>Quote Presentation</t>
    </r>
    <r>
      <rPr>
        <sz val="11"/>
        <color rgb="FF1C2B39"/>
        <rFont val="Arial"/>
        <family val="2"/>
      </rPr>
      <t>​</t>
    </r>
  </si>
  <si>
    <t>Compilation and presentation of carrier quotes, including coverage comparisons, pricing, and key terms, to support client decision-making​</t>
  </si>
  <si>
    <t>Proposal Preparation</t>
  </si>
  <si>
    <r>
      <t>Bind Authorization &amp; Review</t>
    </r>
    <r>
      <rPr>
        <sz val="11"/>
        <color rgb="FF1C2B39"/>
        <rFont val="Arial"/>
        <family val="2"/>
      </rPr>
      <t>​</t>
    </r>
  </si>
  <si>
    <t>Confirmation of client binding instructions, review of final terms and conditions, and authorization to bind coverage with selected carrier(s)​</t>
  </si>
  <si>
    <t>Epic Client Setup</t>
  </si>
  <si>
    <r>
      <t>Premium Financing</t>
    </r>
    <r>
      <rPr>
        <sz val="11"/>
        <color rgb="FF0070C0"/>
        <rFont val="Arial"/>
        <family val="2"/>
      </rPr>
      <t>​</t>
    </r>
  </si>
  <si>
    <t>Coordination of premium financing options as requested by the client​</t>
  </si>
  <si>
    <t>**Premium finance agreements (PFAs)​</t>
  </si>
  <si>
    <r>
      <t>Invoicing</t>
    </r>
    <r>
      <rPr>
        <sz val="11"/>
        <color rgb="FF1C2B39"/>
        <rFont val="Arial"/>
        <family val="2"/>
      </rPr>
      <t>​</t>
    </r>
  </si>
  <si>
    <t>Preparation and issuance of client invoices reflecting premiums, fees, taxes, and payment terms following policy binding​</t>
  </si>
  <si>
    <t>Invoice Creation</t>
  </si>
  <si>
    <t>Surplus Lines Compliance Preparation</t>
  </si>
  <si>
    <t>Post Placement​</t>
  </si>
  <si>
    <r>
      <t>Evidence of Coverage</t>
    </r>
    <r>
      <rPr>
        <sz val="11"/>
        <color rgb="FF1C2B39"/>
        <rFont val="Arial"/>
        <family val="2"/>
      </rPr>
      <t>​</t>
    </r>
  </si>
  <si>
    <t>Issuance and management of certificates and other evidence of insurance documents to verify coverage for clients and third parties​</t>
  </si>
  <si>
    <t>Mid-term Certificate of Insurance</t>
  </si>
  <si>
    <t>Renewal Certificates of Insurance</t>
  </si>
  <si>
    <t>Evidence of Property</t>
  </si>
  <si>
    <t>Auto ID Cards</t>
  </si>
  <si>
    <t>Renewal Auto ID Cards</t>
  </si>
  <si>
    <r>
      <t>Policy Administration</t>
    </r>
    <r>
      <rPr>
        <sz val="11"/>
        <color rgb="FF1C2B39"/>
        <rFont val="Arial"/>
        <family val="2"/>
      </rPr>
      <t>​</t>
    </r>
  </si>
  <si>
    <t>Ongoing administration of active policies, including documentation management, system updates, and coordination with carriers and service teams​</t>
  </si>
  <si>
    <t>Conduct Policy Review / Check</t>
  </si>
  <si>
    <t>Download Policy Documents &amp; Attach to Epic</t>
  </si>
  <si>
    <t>Check Premium Audit &amp; Complete Audit Comparison</t>
  </si>
  <si>
    <t>Audit Review</t>
  </si>
  <si>
    <r>
      <t>Endorsements</t>
    </r>
    <r>
      <rPr>
        <sz val="11"/>
        <color rgb="FF1C2B39"/>
        <rFont val="Arial"/>
        <family val="2"/>
      </rPr>
      <t>​</t>
    </r>
  </si>
  <si>
    <t>Processing of policy changes, including coverage modifications, limits, locations, or exposures, and issuance of updated documentation and billing as applicable​</t>
  </si>
  <si>
    <t>Collect &amp; Confirm Change Request Information</t>
  </si>
  <si>
    <t>Follow Up for Endorsement</t>
  </si>
  <si>
    <t>Check Endorsement Against Change Request</t>
  </si>
  <si>
    <t>Process Cancellations</t>
  </si>
  <si>
    <t>Claims​</t>
  </si>
  <si>
    <r>
      <t>Claim Management / Oversight</t>
    </r>
    <r>
      <rPr>
        <sz val="11"/>
        <color rgb="FF1C2B39"/>
        <rFont val="Arial"/>
        <family val="2"/>
      </rPr>
      <t>​</t>
    </r>
  </si>
  <si>
    <t>Coordination and oversight of claim activity​</t>
  </si>
  <si>
    <t>Claim creation​ (Rush)</t>
  </si>
  <si>
    <t>Claims Data Entry (Std)</t>
  </si>
  <si>
    <t>Claims Data Entry (Doc Update)</t>
  </si>
  <si>
    <t>Claims Without Activity Alerts</t>
  </si>
  <si>
    <t>Activities Without Claims Alerts</t>
  </si>
  <si>
    <r>
      <t>Claims Analytics</t>
    </r>
    <r>
      <rPr>
        <sz val="11"/>
        <color rgb="FF1C2B39"/>
        <rFont val="Arial"/>
        <family val="2"/>
      </rPr>
      <t>​</t>
    </r>
  </si>
  <si>
    <t>Analysis and reporting of claims data to identify trends, support renewal and placement strategy, and provide insights to clients and service teams​</t>
  </si>
  <si>
    <t>Request Loss Runs from Carrier</t>
  </si>
  <si>
    <t>Formatting / Converting Loss Run PDFs</t>
  </si>
  <si>
    <r>
      <t>Claim Creation Guide</t>
    </r>
    <r>
      <rPr>
        <sz val="11"/>
        <color rgb="FF1C2B39"/>
        <rFont val="Arial"/>
        <family val="2"/>
      </rPr>
      <t>​</t>
    </r>
  </si>
  <si>
    <t>Development and maintenance of client-specific guidance outlining claim reporting procedures, carrier contacts, and required information for claim submission​</t>
  </si>
  <si>
    <t>Update Client Guides for Claim Creation</t>
  </si>
  <si>
    <t>SBU - Select Business Unit</t>
  </si>
  <si>
    <t>AMS - Account Management Services</t>
  </si>
  <si>
    <t>CSD - Client Service Delivery</t>
  </si>
  <si>
    <t>Sr No</t>
  </si>
  <si>
    <t>Name</t>
  </si>
  <si>
    <t>ARL</t>
  </si>
  <si>
    <t>Process / Work Type</t>
  </si>
  <si>
    <t xml:space="preserve">Mohamed Bilal Nazeer Ahamed </t>
  </si>
  <si>
    <t>Farukali Mujawar</t>
  </si>
  <si>
    <t>Ritesh Shetty</t>
  </si>
  <si>
    <t>RAG Legend</t>
  </si>
  <si>
    <t>0-6 mnths</t>
  </si>
  <si>
    <t>6 - 18 mnths</t>
  </si>
  <si>
    <t>18+ mnths</t>
  </si>
  <si>
    <t xml:space="preserve">Sr </t>
  </si>
  <si>
    <t>Employee Name</t>
  </si>
  <si>
    <t>Exp Info</t>
  </si>
  <si>
    <t>Worktypes mirroring NFP Definitions</t>
  </si>
  <si>
    <t>Loss runs</t>
  </si>
  <si>
    <t>Other Skills &amp; Exposure</t>
  </si>
  <si>
    <t>Sys &amp; App Exp</t>
  </si>
  <si>
    <t>Desigtions / Certifications</t>
  </si>
  <si>
    <t>Pre - Placement</t>
  </si>
  <si>
    <t>Placement</t>
  </si>
  <si>
    <t>Post - Placement</t>
  </si>
  <si>
    <t>Claims</t>
  </si>
  <si>
    <t>MIS</t>
  </si>
  <si>
    <t>Auto</t>
  </si>
  <si>
    <t>App / Sys Migration</t>
  </si>
  <si>
    <t>Training / OJ Support</t>
  </si>
  <si>
    <t>Proc Exc 
(YB / GB / BB / MBB)</t>
  </si>
  <si>
    <t>Onshore Trans 
( remote)</t>
  </si>
  <si>
    <t>EPIC</t>
  </si>
  <si>
    <t>AMS 360</t>
  </si>
  <si>
    <t>CSR24</t>
  </si>
  <si>
    <t>IMAGERIGHT</t>
  </si>
  <si>
    <t>Institutes</t>
  </si>
  <si>
    <t>Cert CII</t>
  </si>
  <si>
    <t>Tot (yrs)</t>
  </si>
  <si>
    <t>P&amp;C (yrs)</t>
  </si>
  <si>
    <t>Geo Exp</t>
  </si>
  <si>
    <t>Client Discovery</t>
  </si>
  <si>
    <t>Renewal Planning</t>
  </si>
  <si>
    <t>Subm Creation</t>
  </si>
  <si>
    <t>Program Brokering</t>
  </si>
  <si>
    <t>Quote Review</t>
  </si>
  <si>
    <t>Quote presentation</t>
  </si>
  <si>
    <t>Bind Auth &amp; Review​</t>
  </si>
  <si>
    <t>Premium Financing</t>
  </si>
  <si>
    <t>Inv</t>
  </si>
  <si>
    <t>Evidence of Coverage</t>
  </si>
  <si>
    <t>Pol Admin</t>
  </si>
  <si>
    <t>Endmnt</t>
  </si>
  <si>
    <t>Claims Mgmt &amp; Oversight</t>
  </si>
  <si>
    <t>Claims Analytics</t>
  </si>
  <si>
    <t>Claims  Creation Guide</t>
  </si>
  <si>
    <t>JaYesh Shetty</t>
  </si>
  <si>
    <t>8-10</t>
  </si>
  <si>
    <t>5-7</t>
  </si>
  <si>
    <t>USA;UK</t>
  </si>
  <si>
    <t>Yes</t>
  </si>
  <si>
    <t>Santosh Chauhan</t>
  </si>
  <si>
    <t>10+</t>
  </si>
  <si>
    <t>USA</t>
  </si>
  <si>
    <t>Vikram Anand</t>
  </si>
  <si>
    <t>7-8</t>
  </si>
  <si>
    <t>Harish Anand</t>
  </si>
  <si>
    <t>3-5</t>
  </si>
  <si>
    <t>UK</t>
  </si>
  <si>
    <t>Pradeep Kumar L</t>
  </si>
  <si>
    <t>1.5 - 3</t>
  </si>
  <si>
    <t>AUS</t>
  </si>
  <si>
    <t>Shelina Jena</t>
  </si>
  <si>
    <t>0.5 - 1.5</t>
  </si>
  <si>
    <t>Veeranagaraj Hiremath</t>
  </si>
  <si>
    <t>USA;Canada;</t>
  </si>
  <si>
    <t>Amrutha Arali</t>
  </si>
  <si>
    <t>M Dhanashekar</t>
  </si>
  <si>
    <t>Apoorva H A</t>
  </si>
  <si>
    <t>Naresh Moguram</t>
  </si>
  <si>
    <t>Vikram Prakash Bhat</t>
  </si>
  <si>
    <t xml:space="preserve">Nidhi Kumari </t>
  </si>
  <si>
    <t>Prince Peter</t>
  </si>
  <si>
    <t>UK &amp; AUS</t>
  </si>
  <si>
    <t>Joyline Viola Rebello</t>
  </si>
  <si>
    <t>APAC &amp; UK</t>
  </si>
  <si>
    <t>Abishek V</t>
  </si>
  <si>
    <t xml:space="preserve">Lakshmipathy Chalicheemala </t>
  </si>
  <si>
    <t>Geetanjali G</t>
  </si>
  <si>
    <t>Pooja S</t>
  </si>
  <si>
    <t xml:space="preserve">Mohan V Kumar </t>
  </si>
  <si>
    <t>Natri Aakash</t>
  </si>
  <si>
    <t>Suma P</t>
  </si>
  <si>
    <t>Thirumala Reddy S</t>
  </si>
  <si>
    <t xml:space="preserve">Zaiba Sulthana </t>
  </si>
  <si>
    <t xml:space="preserve">Chetankumar Honakeri </t>
  </si>
  <si>
    <t>Sanjeev Krishna V</t>
  </si>
  <si>
    <t>Rohith R</t>
  </si>
  <si>
    <t>Sajith C P</t>
  </si>
  <si>
    <t>Sachin AK</t>
  </si>
  <si>
    <t>Santhosh HS</t>
  </si>
  <si>
    <t>Meagan Lewis</t>
  </si>
  <si>
    <t>Sandhya MS</t>
  </si>
  <si>
    <t>Arun M U</t>
  </si>
  <si>
    <t>Chethan HS</t>
  </si>
  <si>
    <t>Harshitha K</t>
  </si>
  <si>
    <t>Kiran Doddagoudar</t>
  </si>
  <si>
    <t>Manasa BR</t>
  </si>
  <si>
    <t>Prakash M</t>
  </si>
  <si>
    <t>Ramya R C</t>
  </si>
  <si>
    <t>Ranjitha R</t>
  </si>
  <si>
    <t>Rehana S</t>
  </si>
  <si>
    <t>Sangeetha AN</t>
  </si>
  <si>
    <t>Vidyadhar Hiremath</t>
  </si>
  <si>
    <t>Ranjit Kumar Peddinti</t>
  </si>
  <si>
    <t>Gaurav Sharma</t>
  </si>
  <si>
    <t>USA / UK / AUS / CAN</t>
  </si>
  <si>
    <t>AINS/IIA</t>
  </si>
  <si>
    <t>Spandana S</t>
  </si>
  <si>
    <t>A Naveen Reddy</t>
  </si>
  <si>
    <t>Abhishek S Malgondkar</t>
  </si>
  <si>
    <t>Aishwarya B N</t>
  </si>
  <si>
    <t>Akshatha B</t>
  </si>
  <si>
    <t>Alvin N J</t>
  </si>
  <si>
    <t>Anchal Kumari ViNod Baranwal</t>
  </si>
  <si>
    <t>Ansari Mohamed Meeran</t>
  </si>
  <si>
    <t>Ariesh Karthick S</t>
  </si>
  <si>
    <t>Arjun O</t>
  </si>
  <si>
    <t>Arun C</t>
  </si>
  <si>
    <t>Ashish K Shyam</t>
  </si>
  <si>
    <t>Aswathi P K</t>
  </si>
  <si>
    <t>Bangi Afnan Malick</t>
  </si>
  <si>
    <t>BRUNDA N</t>
  </si>
  <si>
    <t>Chandrashekara T</t>
  </si>
  <si>
    <t>Chithra S M</t>
  </si>
  <si>
    <t>Chowdanna Gari Nagarjuna</t>
  </si>
  <si>
    <t>Darshan G</t>
  </si>
  <si>
    <t>Darshan J</t>
  </si>
  <si>
    <t>Divakar R</t>
  </si>
  <si>
    <t>Other;</t>
  </si>
  <si>
    <t>Durgesh Gowda K</t>
  </si>
  <si>
    <t>Geriga Janaki Ramudu</t>
  </si>
  <si>
    <t>Govardhan S</t>
  </si>
  <si>
    <t>Immanuel kirubai das</t>
  </si>
  <si>
    <t>K Mohammed Awan</t>
  </si>
  <si>
    <t>K S Punith Kumar</t>
  </si>
  <si>
    <t>Kandurparthi Chinnappa Gari Ashok Reddy</t>
  </si>
  <si>
    <t>Kanti Nikhil Kumar</t>
  </si>
  <si>
    <t>Kirankumar K V</t>
  </si>
  <si>
    <t>Kotekal Mohammed Jayeed</t>
  </si>
  <si>
    <t>Likith K</t>
  </si>
  <si>
    <t>Mandara K</t>
  </si>
  <si>
    <t>Manjunath Ghatage</t>
  </si>
  <si>
    <t>Mithun B</t>
  </si>
  <si>
    <t>Muniraju N</t>
  </si>
  <si>
    <t>Narayan A Deshpande</t>
  </si>
  <si>
    <t>Naveen K R S</t>
  </si>
  <si>
    <t>Naveen Kumar K</t>
  </si>
  <si>
    <t>Nihal N Suvarna</t>
  </si>
  <si>
    <t>Nikki N</t>
  </si>
  <si>
    <t>Poornima Naik</t>
  </si>
  <si>
    <t>Poorvika S G</t>
  </si>
  <si>
    <t>Pradeepa R</t>
  </si>
  <si>
    <t>Yellow Belt;</t>
  </si>
  <si>
    <t>Pragathi C H</t>
  </si>
  <si>
    <t>Prajwal D</t>
  </si>
  <si>
    <t>Prathima Muttukuru</t>
  </si>
  <si>
    <t>APAC;</t>
  </si>
  <si>
    <t>Pulapalli Bharath Kumar</t>
  </si>
  <si>
    <t>R Rama Krishna</t>
  </si>
  <si>
    <t>Rahul Rao S J</t>
  </si>
  <si>
    <t>Rajath SK</t>
  </si>
  <si>
    <t>Rakesh N</t>
  </si>
  <si>
    <t>Ranjitha M</t>
  </si>
  <si>
    <t>Sachin S</t>
  </si>
  <si>
    <t>Sangeetha Parappa Shirasangi</t>
  </si>
  <si>
    <t>Satish C</t>
  </si>
  <si>
    <t>SHARATH K V</t>
  </si>
  <si>
    <t>Shripada N</t>
  </si>
  <si>
    <t>Siddartha S</t>
  </si>
  <si>
    <t>Sowjanya H Y</t>
  </si>
  <si>
    <t>Sumanjali Sarvepalle</t>
  </si>
  <si>
    <t>Swetha Thirukondan Maheshwaran</t>
  </si>
  <si>
    <t>Tejesh R Katwale</t>
  </si>
  <si>
    <t>Thejas J</t>
  </si>
  <si>
    <t>V Pavan Kumar</t>
  </si>
  <si>
    <t>Vaishnavi C S</t>
  </si>
  <si>
    <t>Vasanth Kumar G</t>
  </si>
  <si>
    <t>Vedhashree R</t>
  </si>
  <si>
    <t>USA;Canada;AUS;</t>
  </si>
  <si>
    <t>Venkatesh V</t>
  </si>
  <si>
    <t>ViNod A</t>
  </si>
  <si>
    <t>Vishnu V</t>
  </si>
  <si>
    <t>Vishwas Rao S</t>
  </si>
  <si>
    <t>Darshan S N</t>
  </si>
  <si>
    <t>Vineeth E S</t>
  </si>
  <si>
    <t>Ashil Thomas</t>
  </si>
  <si>
    <t>Dinesh S</t>
  </si>
  <si>
    <t>Perumandla Suraj</t>
  </si>
  <si>
    <t>Chitipiralla Nirusha</t>
  </si>
  <si>
    <t>Thanushree V</t>
  </si>
  <si>
    <t>Yaparla Pavan Kalyan Reddy</t>
  </si>
  <si>
    <t>Shreeyas S</t>
  </si>
  <si>
    <t>Anurag V P</t>
  </si>
  <si>
    <t>M D Javeed</t>
  </si>
  <si>
    <t>GB</t>
  </si>
  <si>
    <t>AINS, AIS, ACSRL and LOMA - ALMI ans ACS</t>
  </si>
  <si>
    <t>Mohamed Bilal Nazeer Ahamed</t>
  </si>
  <si>
    <t>AINS 25</t>
  </si>
  <si>
    <t>Sailesh V</t>
  </si>
  <si>
    <t>Thejashri H</t>
  </si>
  <si>
    <t>Punam Kumari</t>
  </si>
  <si>
    <t>Tejaswini A</t>
  </si>
  <si>
    <t>Chittajallu Thriveni</t>
  </si>
  <si>
    <t>Sampath Anand</t>
  </si>
  <si>
    <t>Shivanand Kallayyanamath</t>
  </si>
  <si>
    <t>CAN</t>
  </si>
  <si>
    <t>Gajalakshmi N</t>
  </si>
  <si>
    <t>Shamshuddin S</t>
  </si>
  <si>
    <t>Swaminathan MD</t>
  </si>
  <si>
    <t>Renjit Ravindran Nair</t>
  </si>
  <si>
    <t>AINS &amp; AIS</t>
  </si>
  <si>
    <t>Anurag Kumar</t>
  </si>
  <si>
    <t>Chaithra.SL</t>
  </si>
  <si>
    <t>Bismi Juna</t>
  </si>
  <si>
    <t>6 months</t>
  </si>
  <si>
    <t>Shwetha M</t>
  </si>
  <si>
    <t>Santanu Roy</t>
  </si>
  <si>
    <t>USA;Canada</t>
  </si>
  <si>
    <t>Manish Singh</t>
  </si>
  <si>
    <t>Gopal Singhal</t>
  </si>
  <si>
    <t>Punith R</t>
  </si>
  <si>
    <t>Other</t>
  </si>
  <si>
    <t>No</t>
  </si>
  <si>
    <t>Chandana. R</t>
  </si>
  <si>
    <t>Tejashree N</t>
  </si>
  <si>
    <t>Doddam Praveen Kumar</t>
  </si>
  <si>
    <t>USA;UK;Canada</t>
  </si>
  <si>
    <t>Abhijith vr</t>
  </si>
  <si>
    <t>Santhosh N</t>
  </si>
  <si>
    <t>UK;USA</t>
  </si>
  <si>
    <t>Sanjay Ishwar Naik</t>
  </si>
  <si>
    <t>Saiamruta Revankar</t>
  </si>
  <si>
    <t>Magaji Sridhar Anilkumar</t>
  </si>
  <si>
    <t>USA;AUS</t>
  </si>
  <si>
    <t>Yellow Belt</t>
  </si>
  <si>
    <t>UK &amp; USA</t>
  </si>
  <si>
    <t>Madan Mohan</t>
  </si>
  <si>
    <t xml:space="preserve"> </t>
  </si>
  <si>
    <t>Kasturi</t>
  </si>
  <si>
    <t>Linga</t>
  </si>
  <si>
    <t>Ravi R</t>
  </si>
  <si>
    <t>ADARSH M V</t>
  </si>
  <si>
    <t>Vishnu D.S</t>
  </si>
  <si>
    <t>The Institutes</t>
  </si>
  <si>
    <t>Vivian Christopher B</t>
  </si>
  <si>
    <t>Pooja A Karekar</t>
  </si>
  <si>
    <t>Suman VK</t>
  </si>
  <si>
    <t>Ranjitha.V</t>
  </si>
  <si>
    <t>Master Black Belt</t>
  </si>
  <si>
    <t>Shiva S Gowda</t>
  </si>
  <si>
    <t>Jiddu Usha</t>
  </si>
  <si>
    <t>Riya Poojari</t>
  </si>
  <si>
    <t>Ranjith Kumar Shetty</t>
  </si>
  <si>
    <t>Sparen&amp; Gewinn Consulting</t>
  </si>
  <si>
    <t>Imran Sait</t>
  </si>
  <si>
    <t>Black Belt</t>
  </si>
  <si>
    <t>Sumathi K b</t>
  </si>
  <si>
    <t>CPCU</t>
  </si>
  <si>
    <t>Anupama Rahul</t>
  </si>
  <si>
    <t>Rohit Sochanram Vishwakarma</t>
  </si>
  <si>
    <t>Nitesh Kumar Singh</t>
  </si>
  <si>
    <t>ARL Count</t>
  </si>
  <si>
    <t>Overall Experience</t>
  </si>
  <si>
    <t>P&amp;C Experience</t>
  </si>
  <si>
    <t>Process Experience</t>
  </si>
  <si>
    <t>No of colleagues</t>
  </si>
  <si>
    <t>Overall Exp in years</t>
  </si>
  <si>
    <t>Exp in Years</t>
  </si>
  <si>
    <t>No of Colleagues</t>
  </si>
  <si>
    <t>Skill</t>
  </si>
  <si>
    <t>Process</t>
  </si>
  <si>
    <t>(blank)</t>
  </si>
  <si>
    <r>
      <t xml:space="preserve">Onshore Trans </t>
    </r>
    <r>
      <rPr>
        <b/>
        <i/>
        <sz val="9"/>
        <rFont val="Aptos Display"/>
        <family val="2"/>
        <scheme val="major"/>
      </rPr>
      <t>(no remote)</t>
    </r>
  </si>
  <si>
    <t>3 - 5</t>
  </si>
  <si>
    <t>0.5</t>
  </si>
  <si>
    <t>Total</t>
  </si>
  <si>
    <t xml:space="preserve">Sys &amp; App Experience </t>
  </si>
  <si>
    <t>Geography Exposure</t>
  </si>
  <si>
    <t>Application</t>
  </si>
  <si>
    <t>%age</t>
  </si>
  <si>
    <t>Location</t>
  </si>
  <si>
    <t>Count of P&amp;C (yrs)</t>
  </si>
  <si>
    <t>USA;Other</t>
  </si>
  <si>
    <t>Stage</t>
  </si>
  <si>
    <t>Description</t>
  </si>
  <si>
    <t>Work-Types / Tasks</t>
  </si>
  <si>
    <t>Remarks (if any)</t>
  </si>
  <si>
    <t>SOP Status</t>
  </si>
  <si>
    <t>Type</t>
  </si>
  <si>
    <t>Training completed</t>
  </si>
  <si>
    <t>Training pending</t>
  </si>
  <si>
    <t>Binu K Bose</t>
  </si>
  <si>
    <t>Chetankumar Honakeri</t>
  </si>
  <si>
    <t>Kumar, Mohan V</t>
  </si>
  <si>
    <t>Lakshmipathy Chalicheemala</t>
  </si>
  <si>
    <t>Nidhi Kumari</t>
  </si>
  <si>
    <t>Sulthana, Zaiba</t>
  </si>
  <si>
    <t>Jayesh Shetty</t>
  </si>
  <si>
    <t>Pre-Placement</t>
  </si>
  <si>
    <t>understanding the client’s business, risk profile, coverage needs, and objectives to inform program design and placement strategy​</t>
  </si>
  <si>
    <t>SBU CSD</t>
  </si>
  <si>
    <t>O</t>
  </si>
  <si>
    <t>CR CSD</t>
  </si>
  <si>
    <t>SBU RSPIP</t>
  </si>
  <si>
    <t>CR AMS</t>
  </si>
  <si>
    <t>Data Loading and Analytics support - Creating Loss Summary</t>
  </si>
  <si>
    <t>Submission Creation</t>
  </si>
  <si>
    <t>P</t>
  </si>
  <si>
    <t>Pre-filling supplemental applications with prior / existing client or app data​</t>
  </si>
  <si>
    <t>Program Brokering​</t>
  </si>
  <si>
    <t>Quote Review​</t>
  </si>
  <si>
    <t>Comparison of carrier quotes including key policy details (e.g., changes from expiring, form inclusions, edition dates), to identify suitable options for client consideration​</t>
  </si>
  <si>
    <t>Quote Presentation​</t>
  </si>
  <si>
    <t>Bind Authorization &amp; Review​</t>
  </si>
  <si>
    <r>
      <t xml:space="preserve">This work type was a part of the EPIC workshop. The pilot team members along with the first cohort of 24 (total 27)  have a good understanding of the work type </t>
    </r>
    <r>
      <rPr>
        <b/>
        <sz val="8"/>
        <color rgb="FF002060"/>
        <rFont val="Aptos"/>
        <family val="2"/>
      </rPr>
      <t>(Standard process for both SBU &amp; MM)</t>
    </r>
  </si>
  <si>
    <t>Skeleton version prepared</t>
  </si>
  <si>
    <t>Premium Financing​</t>
  </si>
  <si>
    <t>Premium finance agreements (PFAs)​</t>
  </si>
  <si>
    <t>Invoicing​</t>
  </si>
  <si>
    <t>3 Pilot team members have been trained - few variations in the process, will need further coaching</t>
  </si>
  <si>
    <t>Work in progress</t>
  </si>
  <si>
    <t>(Standard process for both SBU &amp; MM)</t>
  </si>
  <si>
    <t>Post Placement</t>
  </si>
  <si>
    <t>Evidence Of Coverage</t>
  </si>
  <si>
    <t>3 pilot team members + 3 more have been trained and all are well equipped to handle processing independently - The training has been completed for SBU ONLY (processed on EPIC). MM process training (on CSR 24) is yet to happen</t>
  </si>
  <si>
    <t>SOP for SBU - skeleton version ready</t>
  </si>
  <si>
    <t>3 pilot team members + 3 have been trained on Renewal issuance  (for SBU), however preparing holder list etc. is yet to be covered (CSR 24 used for MM is pending too)</t>
  </si>
  <si>
    <t xml:space="preserve">To be considered starting Thursday (9th Jul'26) post walkthrough </t>
  </si>
  <si>
    <t>Policy Administration</t>
  </si>
  <si>
    <r>
      <t xml:space="preserve">The pilot team members along with the first cohort of 24 (total 27)  have a good understanding of the work type </t>
    </r>
    <r>
      <rPr>
        <b/>
        <sz val="8"/>
        <color rgb="FF002060"/>
        <rFont val="Aptos"/>
        <family val="2"/>
      </rPr>
      <t>(Standard process for both SBU &amp; MM)</t>
    </r>
  </si>
  <si>
    <t>This work type was a part of the 4 short listed ones, however a walkthrough is pending</t>
  </si>
  <si>
    <t>Endorsements</t>
  </si>
  <si>
    <t>Claim Management / Oversight​</t>
  </si>
  <si>
    <t>Claims Analytics​</t>
  </si>
  <si>
    <t>Claim Creation Guide​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</si>
</sst>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Display"/>
      <family val="2"/>
      <scheme val="major"/>
    </font>
    <font>
      <sz val="10"/>
      <color theme="1"/>
      <name val="Helvetica Now Text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rgb="FF1C2B39"/>
      <name val="Arial"/>
      <family val="2"/>
    </font>
    <font>
      <sz val="11"/>
      <color rgb="FF1C2B39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70C0"/>
      <name val="Arial"/>
      <family val="2"/>
    </font>
    <font>
      <sz val="11"/>
      <color rgb="FF0070C0"/>
      <name val="Arial"/>
      <family val="2"/>
    </font>
    <font>
      <b/>
      <sz val="11"/>
      <color rgb="FF000000"/>
      <name val="Arial Narrow"/>
      <family val="2"/>
    </font>
    <font>
      <b/>
      <sz val="8.8000000000000007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Arial Narrow"/>
      <family val="2"/>
    </font>
    <font>
      <sz val="9"/>
      <color rgb="FF002060"/>
      <name val="Aptos Display"/>
      <family val="2"/>
      <scheme val="major"/>
    </font>
    <font>
      <sz val="9"/>
      <color rgb="FFC00000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sz val="9"/>
      <color theme="0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9"/>
      <color theme="0"/>
      <name val="Aptos Display"/>
      <family val="2"/>
      <scheme val="major"/>
    </font>
    <font>
      <b/>
      <i/>
      <sz val="9"/>
      <name val="Aptos Display"/>
      <family val="2"/>
      <scheme val="major"/>
    </font>
    <font>
      <b/>
      <sz val="9"/>
      <name val="Aptos Display"/>
      <family val="2"/>
      <scheme val="major"/>
    </font>
    <font>
      <sz val="9"/>
      <name val="Aptos Display"/>
      <family val="2"/>
      <scheme val="major"/>
    </font>
    <font>
      <b/>
      <sz val="8"/>
      <color rgb="FF000000"/>
      <name val="Aptos"/>
      <family val="2"/>
    </font>
    <font>
      <sz val="8"/>
      <color rgb="FF000000"/>
      <name val="Aptos"/>
      <family val="2"/>
    </font>
    <font>
      <sz val="8"/>
      <color rgb="FF002060"/>
      <name val="Aptos"/>
      <family val="2"/>
    </font>
    <font>
      <sz val="11"/>
      <color rgb="FF000000"/>
      <name val="Aptos"/>
      <family val="2"/>
    </font>
    <font>
      <b/>
      <sz val="8"/>
      <color rgb="FF002060"/>
      <name val="Aptos"/>
      <family val="2"/>
    </font>
    <font>
      <b/>
      <sz val="8"/>
      <color rgb="FFFFFFFF"/>
      <name val="Aptos"/>
      <family val="2"/>
    </font>
    <font>
      <sz val="8"/>
      <color rgb="FF7030A0"/>
      <name val="Aptos"/>
      <family val="2"/>
    </font>
    <font>
      <sz val="8"/>
      <color rgb="FFFF0000"/>
      <name val="Aptos"/>
      <family val="2"/>
    </font>
    <font>
      <sz val="8"/>
      <name val="Aptos"/>
      <family val="2"/>
    </font>
    <font>
      <sz val="9"/>
      <color theme="0"/>
      <name val="Aptos"/>
      <family val="2"/>
    </font>
    <font>
      <sz val="9"/>
      <name val="Aptos"/>
      <family val="2"/>
    </font>
    <font>
      <sz val="11"/>
      <color theme="0"/>
      <name val="Aptos Narrow"/>
      <family val="2"/>
      <scheme val="minor"/>
    </font>
    <font>
      <sz val="11"/>
      <color rgb="FF000000"/>
      <name val="Aptos"/>
    </font>
    <font>
      <sz val="8"/>
      <color rgb="FF000000"/>
      <name val="Aptos"/>
    </font>
    <font>
      <sz val="9"/>
      <name val="Aptos"/>
    </font>
    <font>
      <b/>
      <sz val="8"/>
      <color rgb="FFFFFFFF"/>
      <name val="Aptos"/>
    </font>
    <font>
      <b/>
      <sz val="8"/>
      <color theme="0"/>
      <name val="Aptos"/>
      <family val="2"/>
    </font>
    <font>
      <sz val="9"/>
      <color theme="0"/>
      <name val="Aptos"/>
    </font>
    <font>
      <b/>
      <sz val="9"/>
      <color theme="1"/>
      <name val="Aptos"/>
      <family val="2"/>
    </font>
    <font>
      <sz val="8"/>
      <color theme="1"/>
      <name val="Aptos"/>
    </font>
    <font>
      <sz val="8"/>
      <color theme="0"/>
      <name val="Aptos"/>
    </font>
    <font>
      <sz val="11"/>
      <color theme="1"/>
      <name val="Webdings"/>
    </font>
    <font>
      <sz val="12"/>
      <color theme="1"/>
      <name val="Wingdings 2"/>
      <family val="1"/>
      <charset val="2"/>
    </font>
    <font>
      <sz val="8"/>
      <color theme="1"/>
      <name val="Aptos"/>
      <family val="2"/>
    </font>
    <font>
      <sz val="11"/>
      <color theme="1"/>
      <name val="Wingdings 2"/>
      <family val="1"/>
      <charset val="2"/>
    </font>
    <font>
      <sz val="9"/>
      <color rgb="FF000000"/>
      <name val="Aptos"/>
      <family val="2"/>
    </font>
    <font>
      <sz val="9"/>
      <color theme="1"/>
      <name val="Aptos Narrow"/>
      <family val="2"/>
      <scheme val="minor"/>
    </font>
    <font>
      <sz val="9"/>
      <color theme="0"/>
      <name val="Aptos Display"/>
      <scheme val="major"/>
    </font>
    <font>
      <sz val="9"/>
      <color theme="1"/>
      <name val="Aptos Display"/>
      <scheme val="major"/>
    </font>
    <font>
      <sz val="9"/>
      <color rgb="FF000000"/>
      <name val="Aptos"/>
    </font>
    <font>
      <sz val="9"/>
      <color rgb="FF000000"/>
      <name val="Aptos Display"/>
      <scheme val="major"/>
    </font>
    <font>
      <sz val="9"/>
      <color rgb="FF0070C0"/>
      <name val="Aptos Display"/>
      <scheme val="major"/>
    </font>
    <font>
      <sz val="9"/>
      <color rgb="FF007033"/>
      <name val="Aptos Display"/>
      <scheme val="major"/>
    </font>
    <font>
      <sz val="9"/>
      <color rgb="FF002060"/>
      <name val="Aptos Display"/>
      <scheme val="major"/>
    </font>
    <font>
      <b/>
      <sz val="9"/>
      <color theme="1"/>
      <name val="Aptos Display"/>
      <scheme val="major"/>
    </font>
    <font>
      <sz val="9"/>
      <color rgb="FFC00000"/>
      <name val="Aptos Display"/>
      <scheme val="major"/>
    </font>
    <font>
      <b/>
      <sz val="9"/>
      <color theme="0"/>
      <name val="Aptos Display"/>
      <scheme val="major"/>
    </font>
    <font>
      <sz val="9"/>
      <color rgb="FFFFFFFF"/>
      <name val="Aptos Display"/>
    </font>
    <font>
      <sz val="9"/>
      <color rgb="FFFFFFFF"/>
      <name val="Aptos Display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6712B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3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ECF6E8"/>
      </patternFill>
    </fill>
    <fill>
      <patternFill patternType="solid">
        <fgColor rgb="FFF4FBF2"/>
      </patternFill>
    </fill>
    <fill>
      <patternFill patternType="solid">
        <fgColor rgb="FFEEF5FB"/>
      </patternFill>
    </fill>
    <fill>
      <patternFill patternType="solid">
        <fgColor rgb="FFF4EFF9"/>
      </patternFill>
    </fill>
    <fill>
      <patternFill patternType="solid">
        <fgColor rgb="FFFF0000"/>
        <bgColor rgb="FF000000"/>
      </patternFill>
    </fill>
  </fills>
  <borders count="1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FFFFFF"/>
      </right>
      <top style="thin">
        <color rgb="FF000000"/>
      </top>
      <bottom/>
      <diagonal/>
    </border>
    <border>
      <left style="medium">
        <color rgb="FFFFFFFF"/>
      </left>
      <right style="medium">
        <color rgb="FFFFFFFF"/>
      </right>
      <top style="thin">
        <color rgb="FF000000"/>
      </top>
      <bottom/>
      <diagonal/>
    </border>
    <border>
      <left style="medium">
        <color rgb="FFFFFFF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rgb="FFFFFFFF"/>
      </left>
      <right style="medium">
        <color rgb="FFFFFFFF"/>
      </right>
      <top/>
      <bottom style="dotted">
        <color rgb="FF808080"/>
      </bottom>
      <diagonal/>
    </border>
    <border>
      <left style="medium">
        <color rgb="FFFFFFFF"/>
      </left>
      <right style="medium">
        <color indexed="64"/>
      </right>
      <top/>
      <bottom style="dotted">
        <color rgb="FF808080"/>
      </bottom>
      <diagonal/>
    </border>
    <border>
      <left style="medium">
        <color rgb="FFFFFFFF"/>
      </left>
      <right style="medium">
        <color rgb="FFFFFFFF"/>
      </right>
      <top style="dotted">
        <color rgb="FF808080"/>
      </top>
      <bottom/>
      <diagonal/>
    </border>
    <border>
      <left style="medium">
        <color rgb="FFFFFFFF"/>
      </left>
      <right style="medium">
        <color indexed="64"/>
      </right>
      <top style="dotted">
        <color rgb="FF808080"/>
      </top>
      <bottom/>
      <diagonal/>
    </border>
    <border>
      <left style="medium">
        <color indexed="64"/>
      </left>
      <right style="medium">
        <color rgb="FFFFFFFF"/>
      </right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/>
      <bottom style="medium">
        <color indexed="64"/>
      </bottom>
      <diagonal/>
    </border>
    <border>
      <left style="medium">
        <color rgb="FFFFFFFF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FFFFFF"/>
      </left>
      <right/>
      <top/>
      <bottom style="dotted">
        <color rgb="FF808080"/>
      </bottom>
      <diagonal/>
    </border>
    <border>
      <left/>
      <right style="medium">
        <color indexed="64"/>
      </right>
      <top/>
      <bottom/>
      <diagonal/>
    </border>
    <border>
      <left style="medium">
        <color rgb="FFFFFFFF"/>
      </left>
      <right/>
      <top style="dotted">
        <color rgb="FF808080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theme="2" tint="-9.9948118533890809E-2"/>
      </left>
      <right style="hair">
        <color theme="2" tint="-9.9948118533890809E-2"/>
      </right>
      <top/>
      <bottom style="hair">
        <color theme="2" tint="-9.9948118533890809E-2"/>
      </bottom>
      <diagonal/>
    </border>
    <border>
      <left/>
      <right style="hair">
        <color theme="2" tint="-9.9948118533890809E-2"/>
      </right>
      <top style="hair">
        <color theme="2" tint="-9.9948118533890809E-2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 tint="-9.9948118533890809E-2"/>
      </top>
      <bottom style="hair">
        <color theme="2" tint="-9.9948118533890809E-2"/>
      </bottom>
      <diagonal/>
    </border>
    <border>
      <left style="hair">
        <color theme="2" tint="-9.9948118533890809E-2"/>
      </left>
      <right/>
      <top style="hair">
        <color theme="2" tint="-9.9948118533890809E-2"/>
      </top>
      <bottom style="hair">
        <color theme="2" tint="-9.9948118533890809E-2"/>
      </bottom>
      <diagonal/>
    </border>
    <border>
      <left/>
      <right style="hair">
        <color theme="2" tint="-9.9948118533890809E-2"/>
      </right>
      <top style="hair">
        <color theme="2" tint="-9.9948118533890809E-2"/>
      </top>
      <bottom/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 tint="-9.9948118533890809E-2"/>
      </top>
      <bottom/>
      <diagonal/>
    </border>
    <border>
      <left style="hair">
        <color theme="2" tint="-9.9948118533890809E-2"/>
      </left>
      <right/>
      <top style="hair">
        <color theme="2" tint="-9.9948118533890809E-2"/>
      </top>
      <bottom/>
      <diagonal/>
    </border>
    <border>
      <left style="medium">
        <color theme="1" tint="0.499984740745262"/>
      </left>
      <right style="hair">
        <color theme="2" tint="-9.9948118533890809E-2"/>
      </right>
      <top/>
      <bottom style="hair">
        <color theme="2" tint="-9.9948118533890809E-2"/>
      </bottom>
      <diagonal/>
    </border>
    <border>
      <left style="hair">
        <color theme="2" tint="-9.9948118533890809E-2"/>
      </left>
      <right style="medium">
        <color theme="1" tint="0.499984740745262"/>
      </right>
      <top/>
      <bottom style="hair">
        <color theme="2" tint="-9.9948118533890809E-2"/>
      </bottom>
      <diagonal/>
    </border>
    <border>
      <left style="medium">
        <color theme="1" tint="0.499984740745262"/>
      </left>
      <right style="hair">
        <color theme="2" tint="-9.9948118533890809E-2"/>
      </right>
      <top style="hair">
        <color theme="2" tint="-9.9948118533890809E-2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medium">
        <color theme="1" tint="0.499984740745262"/>
      </right>
      <top style="hair">
        <color theme="2" tint="-9.9948118533890809E-2"/>
      </top>
      <bottom style="hair">
        <color theme="2" tint="-9.9948118533890809E-2"/>
      </bottom>
      <diagonal/>
    </border>
    <border>
      <left style="medium">
        <color theme="1" tint="0.499984740745262"/>
      </left>
      <right style="hair">
        <color theme="2" tint="-9.9948118533890809E-2"/>
      </right>
      <top style="hair">
        <color theme="2" tint="-9.9948118533890809E-2"/>
      </top>
      <bottom/>
      <diagonal/>
    </border>
    <border>
      <left style="hair">
        <color theme="2" tint="-9.9948118533890809E-2"/>
      </left>
      <right style="medium">
        <color theme="1" tint="0.499984740745262"/>
      </right>
      <top style="hair">
        <color theme="2" tint="-9.9948118533890809E-2"/>
      </top>
      <bottom/>
      <diagonal/>
    </border>
    <border>
      <left style="hair">
        <color theme="2" tint="-9.9948118533890809E-2"/>
      </left>
      <right style="medium">
        <color theme="2" tint="-0.24994659260841701"/>
      </right>
      <top style="hair">
        <color theme="2" tint="-9.9948118533890809E-2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medium">
        <color theme="2" tint="-0.24994659260841701"/>
      </right>
      <top style="hair">
        <color theme="2" tint="-9.9948118533890809E-2"/>
      </top>
      <bottom/>
      <diagonal/>
    </border>
    <border>
      <left/>
      <right/>
      <top style="hair">
        <color theme="2" tint="-9.9948118533890809E-2"/>
      </top>
      <bottom style="hair">
        <color theme="2" tint="-9.9948118533890809E-2"/>
      </bottom>
      <diagonal/>
    </border>
    <border>
      <left/>
      <right/>
      <top style="hair">
        <color theme="2" tint="-9.9948118533890809E-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/>
      <right style="medium">
        <color theme="2" tint="-0.24994659260841701"/>
      </right>
      <top/>
      <bottom/>
      <diagonal/>
    </border>
    <border>
      <left style="medium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medium">
        <color theme="2" tint="-0.2499465926084170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theme="2" tint="-9.9948118533890809E-2"/>
      </right>
      <top style="hair">
        <color theme="2" tint="-9.9948118533890809E-2"/>
      </top>
      <bottom style="hair">
        <color auto="1"/>
      </bottom>
      <diagonal/>
    </border>
    <border>
      <left style="hair">
        <color theme="2" tint="-9.9948118533890809E-2"/>
      </left>
      <right style="medium">
        <color theme="1" tint="0.499984740745262"/>
      </right>
      <top style="hair">
        <color theme="2" tint="-9.9948118533890809E-2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theme="2" tint="-9.9948118533890809E-2"/>
      </left>
      <right/>
      <top/>
      <bottom style="hair">
        <color theme="2" tint="-9.9948118533890809E-2"/>
      </bottom>
      <diagonal/>
    </border>
    <border>
      <left/>
      <right/>
      <top/>
      <bottom style="hair">
        <color theme="2" tint="-9.9948118533890809E-2"/>
      </bottom>
      <diagonal/>
    </border>
    <border>
      <left/>
      <right style="hair">
        <color theme="2" tint="-9.9948118533890809E-2"/>
      </right>
      <top/>
      <bottom style="hair">
        <color theme="2" tint="-9.9948118533890809E-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/>
      <diagonal/>
    </border>
    <border>
      <left style="medium">
        <color rgb="FF000000"/>
      </left>
      <right style="dotted">
        <color theme="0" tint="-0.24994659260841701"/>
      </right>
      <top style="medium">
        <color rgb="FF000000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medium">
        <color rgb="FF000000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medium">
        <color rgb="FF000000"/>
      </right>
      <top style="medium">
        <color rgb="FF000000"/>
      </top>
      <bottom style="dotted">
        <color theme="0" tint="-0.24994659260841701"/>
      </bottom>
      <diagonal/>
    </border>
    <border>
      <left style="medium">
        <color rgb="FF000000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medium">
        <color rgb="FF000000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 tint="-9.9948118533890809E-2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tted">
        <color theme="0" tint="-0.24994659260841701"/>
      </right>
      <top style="medium">
        <color rgb="FF000000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 style="medium">
        <color rgb="FF000000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 style="dotted">
        <color theme="0" tint="-0.24994659260841701"/>
      </bottom>
      <diagonal/>
    </border>
    <border>
      <left style="medium">
        <color rgb="FF000000"/>
      </left>
      <right style="dotted">
        <color theme="0" tint="-0.24994659260841701"/>
      </right>
      <top style="dotted">
        <color theme="0" tint="-0.24994659260841701"/>
      </top>
      <bottom style="medium">
        <color rgb="FF000000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2" tint="-0.499984740745262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 style="dotted">
        <color theme="2" tint="-0.499984740745262"/>
      </bottom>
      <diagonal/>
    </border>
    <border>
      <left/>
      <right/>
      <top style="medium">
        <color rgb="FF000000"/>
      </top>
      <bottom/>
      <diagonal/>
    </border>
    <border>
      <left style="hair">
        <color theme="2" tint="-9.9948118533890809E-2"/>
      </left>
      <right style="hair">
        <color theme="2" tint="-9.9948118533890809E-2"/>
      </right>
      <top style="medium">
        <color rgb="FF000000"/>
      </top>
      <bottom style="hair">
        <color theme="2" tint="-9.9948118533890809E-2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dotted">
        <color theme="0" tint="-0.24994659260841701"/>
      </left>
      <right/>
      <top style="medium">
        <color rgb="FF000000"/>
      </top>
      <bottom style="dotted">
        <color theme="0" tint="-0.24994659260841701"/>
      </bottom>
      <diagonal/>
    </border>
    <border>
      <left style="dotted">
        <color theme="0" tint="-0.24994659260841701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rgb="FF000000"/>
      </left>
      <right style="dotted">
        <color theme="0" tint="-0.24994659260841701"/>
      </right>
      <top style="dotted">
        <color theme="0" tint="-0.24994659260841701"/>
      </top>
      <bottom/>
      <diagonal/>
    </border>
    <border>
      <left style="dotted">
        <color theme="0" tint="-0.24994659260841701"/>
      </left>
      <right/>
      <top style="dotted">
        <color theme="0" tint="-0.24994659260841701"/>
      </top>
      <bottom/>
      <diagonal/>
    </border>
    <border>
      <left style="dotted">
        <color theme="0" tint="-0.24994659260841701"/>
      </left>
      <right style="medium">
        <color rgb="FF000000"/>
      </right>
      <top style="dotted">
        <color theme="0" tint="-0.24994659260841701"/>
      </top>
      <bottom/>
      <diagonal/>
    </border>
    <border>
      <left style="dotted">
        <color theme="0" tint="-0.2499465926084170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tted">
        <color theme="0" tint="-0.24994659260841701"/>
      </left>
      <right/>
      <top style="medium">
        <color rgb="FF000000"/>
      </top>
      <bottom/>
      <diagonal/>
    </border>
    <border>
      <left/>
      <right style="dotted">
        <color theme="0" tint="-0.24994659260841701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theme="2" tint="-9.9948118533890809E-2"/>
      </left>
      <right style="thin">
        <color rgb="FF000000"/>
      </right>
      <top style="hair">
        <color theme="2" tint="-9.9948118533890809E-2"/>
      </top>
      <bottom/>
      <diagonal/>
    </border>
    <border>
      <left style="hair">
        <color theme="2" tint="-9.9948118533890809E-2"/>
      </left>
      <right style="hair">
        <color theme="2" tint="-9.9948118533890809E-2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theme="2" tint="-9.9948118533890809E-2"/>
      </left>
      <right style="medium">
        <color theme="2" tint="-0.24994659260841701"/>
      </right>
      <top/>
      <bottom style="hair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/>
      <bottom style="hair">
        <color theme="2" tint="-9.9948118533890809E-2"/>
      </bottom>
      <diagonal/>
    </border>
    <border>
      <left style="medium">
        <color theme="1" tint="0.499984740745262"/>
      </left>
      <right/>
      <top style="hair">
        <color theme="2" tint="-9.9948118533890809E-2"/>
      </top>
      <bottom style="hair">
        <color theme="2" tint="-9.9948118533890809E-2"/>
      </bottom>
      <diagonal/>
    </border>
    <border>
      <left style="medium">
        <color theme="1" tint="0.499984740745262"/>
      </left>
      <right/>
      <top style="hair">
        <color theme="2" tint="-9.9948118533890809E-2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9" fontId="24" fillId="0" borderId="0" applyFont="0" applyFill="0" applyBorder="0" applyAlignment="0" applyProtection="0"/>
    <xf numFmtId="0" fontId="40" fillId="30" borderId="0" applyNumberFormat="0" applyBorder="0" applyAlignment="0" applyProtection="0"/>
  </cellStyleXfs>
  <cellXfs count="388">
    <xf numFmtId="0" fontId="0" fillId="0" borderId="0" xfId="0"/>
    <xf numFmtId="0" fontId="2" fillId="0" borderId="0" xfId="0" applyFont="1" applyAlignment="1">
      <alignment vertical="center" wrapText="1"/>
    </xf>
    <xf numFmtId="0" fontId="4" fillId="2" borderId="0" xfId="1" applyFont="1" applyFill="1" applyAlignment="1">
      <alignment vertical="top"/>
    </xf>
    <xf numFmtId="0" fontId="5" fillId="2" borderId="0" xfId="1" applyFont="1" applyFill="1" applyAlignment="1">
      <alignment horizontal="center" vertical="center" wrapText="1"/>
    </xf>
    <xf numFmtId="0" fontId="4" fillId="2" borderId="0" xfId="1" applyFont="1" applyFill="1"/>
    <xf numFmtId="0" fontId="4" fillId="0" borderId="0" xfId="1" applyFont="1"/>
    <xf numFmtId="0" fontId="9" fillId="5" borderId="11" xfId="0" applyFont="1" applyFill="1" applyBorder="1" applyAlignment="1">
      <alignment wrapText="1"/>
    </xf>
    <xf numFmtId="0" fontId="5" fillId="5" borderId="13" xfId="0" applyFont="1" applyFill="1" applyBorder="1" applyAlignment="1">
      <alignment wrapText="1"/>
    </xf>
    <xf numFmtId="0" fontId="9" fillId="5" borderId="13" xfId="0" applyFont="1" applyFill="1" applyBorder="1" applyAlignment="1">
      <alignment wrapText="1"/>
    </xf>
    <xf numFmtId="0" fontId="9" fillId="5" borderId="13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>
      <alignment vertical="top" wrapText="1"/>
    </xf>
    <xf numFmtId="0" fontId="9" fillId="5" borderId="17" xfId="0" applyFont="1" applyFill="1" applyBorder="1" applyAlignment="1">
      <alignment horizontal="left" vertical="center" wrapText="1"/>
    </xf>
    <xf numFmtId="0" fontId="4" fillId="5" borderId="13" xfId="0" applyFont="1" applyFill="1" applyBorder="1" applyAlignment="1">
      <alignment horizontal="left" vertical="center" wrapText="1" indent="1"/>
    </xf>
    <xf numFmtId="0" fontId="4" fillId="5" borderId="20" xfId="0" applyFont="1" applyFill="1" applyBorder="1" applyAlignment="1">
      <alignment vertical="top" wrapText="1"/>
    </xf>
    <xf numFmtId="0" fontId="9" fillId="5" borderId="24" xfId="0" applyFont="1" applyFill="1" applyBorder="1" applyAlignment="1">
      <alignment vertical="center" wrapText="1"/>
    </xf>
    <xf numFmtId="0" fontId="13" fillId="5" borderId="24" xfId="0" applyFont="1" applyFill="1" applyBorder="1" applyAlignment="1">
      <alignment vertical="center" wrapText="1"/>
    </xf>
    <xf numFmtId="0" fontId="5" fillId="5" borderId="24" xfId="0" applyFont="1" applyFill="1" applyBorder="1" applyAlignment="1">
      <alignment vertical="center" wrapText="1"/>
    </xf>
    <xf numFmtId="0" fontId="4" fillId="5" borderId="24" xfId="0" applyFont="1" applyFill="1" applyBorder="1" applyAlignment="1">
      <alignment vertical="center" wrapText="1"/>
    </xf>
    <xf numFmtId="0" fontId="4" fillId="5" borderId="24" xfId="0" applyFont="1" applyFill="1" applyBorder="1" applyAlignment="1">
      <alignment vertical="top" wrapText="1"/>
    </xf>
    <xf numFmtId="0" fontId="13" fillId="5" borderId="22" xfId="0" applyFont="1" applyFill="1" applyBorder="1" applyAlignment="1">
      <alignment horizontal="left" vertical="center" wrapText="1"/>
    </xf>
    <xf numFmtId="0" fontId="1" fillId="5" borderId="24" xfId="0" applyFont="1" applyFill="1" applyBorder="1" applyAlignment="1">
      <alignment horizontal="left" vertical="center" wrapText="1" indent="1"/>
    </xf>
    <xf numFmtId="0" fontId="13" fillId="5" borderId="24" xfId="0" applyFont="1" applyFill="1" applyBorder="1" applyAlignment="1">
      <alignment horizontal="left" vertical="center" wrapText="1"/>
    </xf>
    <xf numFmtId="0" fontId="9" fillId="5" borderId="24" xfId="0" applyFont="1" applyFill="1" applyBorder="1" applyAlignment="1">
      <alignment horizontal="left" vertical="center" wrapText="1"/>
    </xf>
    <xf numFmtId="0" fontId="14" fillId="5" borderId="24" xfId="0" applyFont="1" applyFill="1" applyBorder="1" applyAlignment="1">
      <alignment horizontal="left" vertical="top" wrapText="1"/>
    </xf>
    <xf numFmtId="0" fontId="14" fillId="5" borderId="24" xfId="0" applyFont="1" applyFill="1" applyBorder="1" applyAlignment="1">
      <alignment vertical="top" wrapText="1"/>
    </xf>
    <xf numFmtId="0" fontId="15" fillId="5" borderId="22" xfId="0" applyFont="1" applyFill="1" applyBorder="1" applyAlignment="1">
      <alignment vertical="center" wrapText="1"/>
    </xf>
    <xf numFmtId="0" fontId="16" fillId="5" borderId="24" xfId="0" applyFont="1" applyFill="1" applyBorder="1" applyAlignment="1">
      <alignment vertical="center" wrapText="1"/>
    </xf>
    <xf numFmtId="0" fontId="1" fillId="5" borderId="24" xfId="0" applyFont="1" applyFill="1" applyBorder="1" applyAlignment="1">
      <alignment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1" fillId="6" borderId="0" xfId="0" applyFont="1" applyFill="1" applyAlignment="1">
      <alignment horizontal="center"/>
    </xf>
    <xf numFmtId="0" fontId="21" fillId="10" borderId="0" xfId="0" applyFont="1" applyFill="1" applyAlignment="1">
      <alignment horizontal="center"/>
    </xf>
    <xf numFmtId="0" fontId="20" fillId="21" borderId="0" xfId="0" applyFont="1" applyFill="1" applyAlignment="1">
      <alignment horizontal="center"/>
    </xf>
    <xf numFmtId="0" fontId="2" fillId="0" borderId="30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2" fillId="5" borderId="64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6" xfId="0" applyFont="1" applyBorder="1" applyAlignment="1">
      <alignment horizontal="left" vertical="center"/>
    </xf>
    <xf numFmtId="0" fontId="2" fillId="0" borderId="5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9" fontId="2" fillId="0" borderId="0" xfId="2" applyFont="1" applyAlignment="1">
      <alignment vertical="center"/>
    </xf>
    <xf numFmtId="0" fontId="27" fillId="5" borderId="68" xfId="0" applyFont="1" applyFill="1" applyBorder="1" applyAlignment="1">
      <alignment horizontal="left" vertical="center"/>
    </xf>
    <xf numFmtId="0" fontId="27" fillId="5" borderId="69" xfId="0" applyFont="1" applyFill="1" applyBorder="1" applyAlignment="1">
      <alignment horizontal="center" vertical="center"/>
    </xf>
    <xf numFmtId="0" fontId="27" fillId="5" borderId="70" xfId="0" applyFont="1" applyFill="1" applyBorder="1" applyAlignment="1">
      <alignment horizontal="center" vertical="center"/>
    </xf>
    <xf numFmtId="0" fontId="28" fillId="0" borderId="66" xfId="0" applyFont="1" applyBorder="1" applyAlignment="1">
      <alignment horizontal="left" vertical="center" wrapText="1"/>
    </xf>
    <xf numFmtId="0" fontId="28" fillId="0" borderId="65" xfId="0" applyFont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8" fillId="0" borderId="60" xfId="0" applyFont="1" applyBorder="1" applyAlignment="1">
      <alignment vertical="center"/>
    </xf>
    <xf numFmtId="0" fontId="28" fillId="0" borderId="59" xfId="0" applyFont="1" applyBorder="1" applyAlignment="1">
      <alignment horizontal="left" vertical="center" wrapText="1"/>
    </xf>
    <xf numFmtId="0" fontId="28" fillId="0" borderId="60" xfId="0" applyFont="1" applyBorder="1" applyAlignment="1">
      <alignment horizontal="center" vertical="center"/>
    </xf>
    <xf numFmtId="0" fontId="28" fillId="0" borderId="6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62" xfId="0" applyFont="1" applyBorder="1" applyAlignment="1">
      <alignment horizontal="left" vertical="center" wrapText="1"/>
    </xf>
    <xf numFmtId="0" fontId="28" fillId="0" borderId="63" xfId="0" applyFont="1" applyBorder="1" applyAlignment="1">
      <alignment horizontal="center" vertical="center"/>
    </xf>
    <xf numFmtId="0" fontId="28" fillId="0" borderId="64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2" fillId="5" borderId="62" xfId="0" applyFont="1" applyFill="1" applyBorder="1" applyAlignment="1">
      <alignment horizontal="left" vertical="center"/>
    </xf>
    <xf numFmtId="0" fontId="2" fillId="0" borderId="62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8" fillId="0" borderId="67" xfId="2" applyFont="1" applyBorder="1" applyAlignment="1">
      <alignment horizontal="center" vertical="center"/>
    </xf>
    <xf numFmtId="9" fontId="28" fillId="0" borderId="61" xfId="2" applyFont="1" applyBorder="1" applyAlignment="1">
      <alignment horizontal="center" vertical="center"/>
    </xf>
    <xf numFmtId="9" fontId="28" fillId="0" borderId="64" xfId="2" applyFont="1" applyBorder="1" applyAlignment="1">
      <alignment horizontal="center" vertical="center"/>
    </xf>
    <xf numFmtId="0" fontId="2" fillId="5" borderId="77" xfId="0" applyFont="1" applyFill="1" applyBorder="1" applyAlignment="1">
      <alignment horizontal="center" vertical="center"/>
    </xf>
    <xf numFmtId="0" fontId="2" fillId="0" borderId="78" xfId="0" applyFont="1" applyBorder="1" applyAlignment="1">
      <alignment horizontal="left" vertical="center"/>
    </xf>
    <xf numFmtId="0" fontId="2" fillId="0" borderId="79" xfId="0" applyFont="1" applyBorder="1" applyAlignment="1">
      <alignment horizontal="left" vertical="center"/>
    </xf>
    <xf numFmtId="0" fontId="2" fillId="5" borderId="77" xfId="0" applyFont="1" applyFill="1" applyBorder="1" applyAlignment="1">
      <alignment horizontal="left" vertical="center"/>
    </xf>
    <xf numFmtId="0" fontId="2" fillId="0" borderId="80" xfId="0" applyFont="1" applyBorder="1" applyAlignment="1">
      <alignment horizontal="left" vertical="center"/>
    </xf>
    <xf numFmtId="0" fontId="2" fillId="0" borderId="59" xfId="0" applyFont="1" applyBorder="1" applyAlignment="1">
      <alignment vertical="center"/>
    </xf>
    <xf numFmtId="0" fontId="2" fillId="5" borderId="68" xfId="0" applyFont="1" applyFill="1" applyBorder="1" applyAlignment="1">
      <alignment vertical="center"/>
    </xf>
    <xf numFmtId="0" fontId="30" fillId="0" borderId="81" xfId="0" applyFont="1" applyBorder="1" applyAlignment="1">
      <alignment horizontal="left" vertical="center"/>
    </xf>
    <xf numFmtId="0" fontId="32" fillId="0" borderId="81" xfId="0" applyFont="1" applyBorder="1" applyAlignment="1">
      <alignment horizontal="left" vertical="center"/>
    </xf>
    <xf numFmtId="0" fontId="30" fillId="0" borderId="81" xfId="0" applyFont="1" applyBorder="1" applyAlignment="1">
      <alignment vertical="center"/>
    </xf>
    <xf numFmtId="0" fontId="35" fillId="0" borderId="81" xfId="0" applyFont="1" applyBorder="1" applyAlignment="1">
      <alignment horizontal="left" vertical="center"/>
    </xf>
    <xf numFmtId="0" fontId="37" fillId="0" borderId="81" xfId="0" applyFont="1" applyBorder="1" applyAlignment="1">
      <alignment horizontal="left" vertical="center"/>
    </xf>
    <xf numFmtId="0" fontId="31" fillId="0" borderId="81" xfId="0" applyFont="1" applyBorder="1" applyAlignment="1">
      <alignment vertical="center"/>
    </xf>
    <xf numFmtId="0" fontId="0" fillId="0" borderId="81" xfId="0" applyBorder="1"/>
    <xf numFmtId="0" fontId="33" fillId="0" borderId="81" xfId="0" applyFont="1" applyBorder="1" applyAlignment="1">
      <alignment horizontal="left" vertical="center"/>
    </xf>
    <xf numFmtId="0" fontId="32" fillId="0" borderId="81" xfId="0" applyFont="1" applyBorder="1" applyAlignment="1">
      <alignment vertical="center"/>
    </xf>
    <xf numFmtId="0" fontId="31" fillId="0" borderId="81" xfId="0" applyFont="1" applyBorder="1" applyAlignment="1">
      <alignment horizontal="left" vertical="center"/>
    </xf>
    <xf numFmtId="0" fontId="36" fillId="0" borderId="81" xfId="0" applyFont="1" applyBorder="1" applyAlignment="1">
      <alignment horizontal="left" vertical="center"/>
    </xf>
    <xf numFmtId="0" fontId="37" fillId="2" borderId="81" xfId="0" applyFont="1" applyFill="1" applyBorder="1" applyAlignment="1">
      <alignment horizontal="left" vertical="center"/>
    </xf>
    <xf numFmtId="0" fontId="37" fillId="29" borderId="81" xfId="0" applyFont="1" applyFill="1" applyBorder="1" applyAlignment="1">
      <alignment vertical="center"/>
    </xf>
    <xf numFmtId="0" fontId="37" fillId="29" borderId="81" xfId="0" applyFont="1" applyFill="1" applyBorder="1" applyAlignment="1">
      <alignment horizontal="left" vertical="center"/>
    </xf>
    <xf numFmtId="0" fontId="37" fillId="2" borderId="81" xfId="0" applyFont="1" applyFill="1" applyBorder="1" applyAlignment="1">
      <alignment vertical="center"/>
    </xf>
    <xf numFmtId="0" fontId="39" fillId="2" borderId="31" xfId="0" applyFont="1" applyFill="1" applyBorder="1" applyAlignment="1">
      <alignment vertical="center"/>
    </xf>
    <xf numFmtId="0" fontId="41" fillId="0" borderId="89" xfId="0" applyFont="1" applyBorder="1" applyAlignment="1">
      <alignment horizontal="left" vertical="center"/>
    </xf>
    <xf numFmtId="0" fontId="43" fillId="2" borderId="90" xfId="0" applyFont="1" applyFill="1" applyBorder="1" applyAlignment="1">
      <alignment vertical="center"/>
    </xf>
    <xf numFmtId="0" fontId="30" fillId="0" borderId="86" xfId="0" applyFont="1" applyBorder="1" applyAlignment="1">
      <alignment vertical="center"/>
    </xf>
    <xf numFmtId="0" fontId="42" fillId="0" borderId="86" xfId="0" applyFont="1" applyBorder="1" applyAlignment="1">
      <alignment vertical="center"/>
    </xf>
    <xf numFmtId="0" fontId="47" fillId="24" borderId="92" xfId="0" applyFont="1" applyFill="1" applyBorder="1" applyAlignment="1">
      <alignment vertical="center"/>
    </xf>
    <xf numFmtId="0" fontId="47" fillId="24" borderId="93" xfId="0" applyFont="1" applyFill="1" applyBorder="1" applyAlignment="1">
      <alignment vertical="center"/>
    </xf>
    <xf numFmtId="0" fontId="47" fillId="25" borderId="93" xfId="0" applyFont="1" applyFill="1" applyBorder="1" applyAlignment="1">
      <alignment horizontal="center" vertical="center"/>
    </xf>
    <xf numFmtId="0" fontId="30" fillId="0" borderId="83" xfId="0" applyFont="1" applyBorder="1" applyAlignment="1">
      <alignment vertical="center"/>
    </xf>
    <xf numFmtId="0" fontId="37" fillId="2" borderId="84" xfId="0" applyFont="1" applyFill="1" applyBorder="1" applyAlignment="1">
      <alignment horizontal="left" vertical="center"/>
    </xf>
    <xf numFmtId="0" fontId="31" fillId="0" borderId="84" xfId="0" applyFont="1" applyBorder="1" applyAlignment="1">
      <alignment vertical="center"/>
    </xf>
    <xf numFmtId="0" fontId="32" fillId="0" borderId="84" xfId="0" applyFont="1" applyBorder="1" applyAlignment="1">
      <alignment horizontal="left" vertical="center"/>
    </xf>
    <xf numFmtId="0" fontId="30" fillId="0" borderId="84" xfId="0" applyFont="1" applyBorder="1" applyAlignment="1">
      <alignment vertical="center"/>
    </xf>
    <xf numFmtId="0" fontId="37" fillId="29" borderId="84" xfId="0" applyFont="1" applyFill="1" applyBorder="1" applyAlignment="1">
      <alignment vertical="center"/>
    </xf>
    <xf numFmtId="0" fontId="31" fillId="0" borderId="84" xfId="0" applyFont="1" applyBorder="1" applyAlignment="1">
      <alignment horizontal="left" vertical="center"/>
    </xf>
    <xf numFmtId="0" fontId="35" fillId="0" borderId="84" xfId="0" applyFont="1" applyBorder="1" applyAlignment="1">
      <alignment horizontal="left" vertical="center"/>
    </xf>
    <xf numFmtId="0" fontId="42" fillId="0" borderId="95" xfId="0" applyFont="1" applyBorder="1" applyAlignment="1">
      <alignment vertical="center"/>
    </xf>
    <xf numFmtId="0" fontId="42" fillId="0" borderId="83" xfId="0" applyFont="1" applyBorder="1" applyAlignment="1">
      <alignment vertical="center"/>
    </xf>
    <xf numFmtId="0" fontId="32" fillId="0" borderId="98" xfId="0" applyFont="1" applyBorder="1" applyAlignment="1">
      <alignment horizontal="left" vertical="center"/>
    </xf>
    <xf numFmtId="0" fontId="39" fillId="2" borderId="99" xfId="0" applyFont="1" applyFill="1" applyBorder="1" applyAlignment="1">
      <alignment vertical="center"/>
    </xf>
    <xf numFmtId="0" fontId="40" fillId="30" borderId="93" xfId="3" applyBorder="1" applyAlignment="1">
      <alignment horizontal="left" vertical="center"/>
    </xf>
    <xf numFmtId="9" fontId="30" fillId="0" borderId="101" xfId="2" applyFont="1" applyBorder="1" applyAlignment="1">
      <alignment horizontal="left" vertical="center"/>
    </xf>
    <xf numFmtId="9" fontId="30" fillId="0" borderId="102" xfId="2" applyFont="1" applyBorder="1" applyAlignment="1">
      <alignment horizontal="left" vertical="center"/>
    </xf>
    <xf numFmtId="9" fontId="32" fillId="0" borderId="102" xfId="2" applyFont="1" applyBorder="1" applyAlignment="1">
      <alignment horizontal="left" vertical="center"/>
    </xf>
    <xf numFmtId="9" fontId="42" fillId="0" borderId="102" xfId="2" applyFont="1" applyBorder="1" applyAlignment="1">
      <alignment horizontal="left" vertical="center"/>
    </xf>
    <xf numFmtId="0" fontId="49" fillId="30" borderId="93" xfId="3" applyFont="1" applyBorder="1" applyAlignment="1">
      <alignment horizontal="left" vertical="center"/>
    </xf>
    <xf numFmtId="0" fontId="48" fillId="0" borderId="84" xfId="0" applyFont="1" applyBorder="1"/>
    <xf numFmtId="0" fontId="48" fillId="0" borderId="81" xfId="0" applyFont="1" applyBorder="1"/>
    <xf numFmtId="0" fontId="50" fillId="0" borderId="0" xfId="0" applyFont="1"/>
    <xf numFmtId="0" fontId="52" fillId="0" borderId="81" xfId="0" applyFont="1" applyBorder="1"/>
    <xf numFmtId="0" fontId="52" fillId="0" borderId="84" xfId="0" applyFont="1" applyBorder="1"/>
    <xf numFmtId="0" fontId="0" fillId="0" borderId="84" xfId="0" applyBorder="1"/>
    <xf numFmtId="0" fontId="0" fillId="0" borderId="85" xfId="0" applyBorder="1"/>
    <xf numFmtId="0" fontId="0" fillId="0" borderId="87" xfId="0" applyBorder="1"/>
    <xf numFmtId="0" fontId="53" fillId="0" borderId="89" xfId="0" applyFont="1" applyBorder="1" applyAlignment="1">
      <alignment horizontal="center"/>
    </xf>
    <xf numFmtId="0" fontId="53" fillId="0" borderId="98" xfId="0" applyFont="1" applyBorder="1" applyAlignment="1">
      <alignment horizontal="center"/>
    </xf>
    <xf numFmtId="0" fontId="0" fillId="0" borderId="98" xfId="0" applyBorder="1"/>
    <xf numFmtId="0" fontId="0" fillId="0" borderId="100" xfId="0" applyBorder="1"/>
    <xf numFmtId="0" fontId="0" fillId="0" borderId="88" xfId="0" applyBorder="1"/>
    <xf numFmtId="0" fontId="0" fillId="0" borderId="89" xfId="0" applyBorder="1"/>
    <xf numFmtId="0" fontId="0" fillId="0" borderId="91" xfId="0" applyBorder="1"/>
    <xf numFmtId="0" fontId="51" fillId="0" borderId="98" xfId="0" applyFont="1" applyBorder="1" applyAlignment="1">
      <alignment horizontal="center"/>
    </xf>
    <xf numFmtId="0" fontId="51" fillId="0" borderId="0" xfId="0" applyFont="1" applyAlignment="1">
      <alignment horizontal="center"/>
    </xf>
    <xf numFmtId="0" fontId="30" fillId="0" borderId="103" xfId="0" applyFont="1" applyBorder="1" applyAlignment="1">
      <alignment vertical="center"/>
    </xf>
    <xf numFmtId="0" fontId="0" fillId="0" borderId="82" xfId="0" applyBorder="1"/>
    <xf numFmtId="0" fontId="37" fillId="2" borderId="82" xfId="0" applyFont="1" applyFill="1" applyBorder="1" applyAlignment="1">
      <alignment horizontal="left" vertical="center"/>
    </xf>
    <xf numFmtId="0" fontId="33" fillId="0" borderId="82" xfId="0" applyFont="1" applyBorder="1" applyAlignment="1">
      <alignment horizontal="left" vertical="center"/>
    </xf>
    <xf numFmtId="0" fontId="32" fillId="0" borderId="82" xfId="0" applyFont="1" applyBorder="1" applyAlignment="1">
      <alignment horizontal="left" vertical="center"/>
    </xf>
    <xf numFmtId="9" fontId="30" fillId="0" borderId="104" xfId="2" applyFont="1" applyBorder="1" applyAlignment="1">
      <alignment horizontal="left" vertical="center"/>
    </xf>
    <xf numFmtId="0" fontId="53" fillId="0" borderId="0" xfId="0" applyFont="1" applyAlignment="1">
      <alignment horizontal="center"/>
    </xf>
    <xf numFmtId="0" fontId="0" fillId="0" borderId="105" xfId="0" applyBorder="1"/>
    <xf numFmtId="0" fontId="30" fillId="0" borderId="82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48" fillId="0" borderId="0" xfId="0" applyFont="1"/>
    <xf numFmtId="0" fontId="42" fillId="0" borderId="103" xfId="0" applyFont="1" applyBorder="1" applyAlignment="1">
      <alignment vertical="center"/>
    </xf>
    <xf numFmtId="0" fontId="37" fillId="2" borderId="8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47" fillId="25" borderId="92" xfId="0" applyFont="1" applyFill="1" applyBorder="1" applyAlignment="1">
      <alignment horizontal="center" vertical="center" wrapText="1"/>
    </xf>
    <xf numFmtId="0" fontId="47" fillId="25" borderId="106" xfId="0" applyFont="1" applyFill="1" applyBorder="1" applyAlignment="1">
      <alignment horizontal="center" vertical="center" wrapText="1"/>
    </xf>
    <xf numFmtId="1" fontId="30" fillId="0" borderId="107" xfId="2" applyNumberFormat="1" applyFont="1" applyBorder="1" applyAlignment="1">
      <alignment horizontal="center" vertical="center"/>
    </xf>
    <xf numFmtId="1" fontId="30" fillId="0" borderId="100" xfId="2" applyNumberFormat="1" applyFont="1" applyBorder="1" applyAlignment="1">
      <alignment horizontal="center" vertical="center"/>
    </xf>
    <xf numFmtId="1" fontId="30" fillId="0" borderId="108" xfId="2" applyNumberFormat="1" applyFont="1" applyBorder="1" applyAlignment="1">
      <alignment horizontal="center" vertical="center"/>
    </xf>
    <xf numFmtId="1" fontId="30" fillId="0" borderId="88" xfId="2" applyNumberFormat="1" applyFont="1" applyBorder="1" applyAlignment="1">
      <alignment horizontal="center" vertical="center"/>
    </xf>
    <xf numFmtId="1" fontId="30" fillId="0" borderId="109" xfId="2" applyNumberFormat="1" applyFont="1" applyBorder="1" applyAlignment="1">
      <alignment horizontal="center" vertical="center"/>
    </xf>
    <xf numFmtId="1" fontId="30" fillId="0" borderId="91" xfId="2" applyNumberFormat="1" applyFont="1" applyBorder="1" applyAlignment="1">
      <alignment horizontal="center" vertical="center"/>
    </xf>
    <xf numFmtId="0" fontId="47" fillId="25" borderId="110" xfId="0" applyFont="1" applyFill="1" applyBorder="1" applyAlignment="1">
      <alignment horizontal="center" vertical="center"/>
    </xf>
    <xf numFmtId="0" fontId="49" fillId="30" borderId="111" xfId="3" applyFont="1" applyBorder="1" applyAlignment="1">
      <alignment horizontal="left" vertic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9" fontId="0" fillId="0" borderId="0" xfId="0" applyNumberFormat="1" applyAlignment="1">
      <alignment horizontal="center"/>
    </xf>
    <xf numFmtId="0" fontId="23" fillId="7" borderId="112" xfId="0" applyFont="1" applyFill="1" applyBorder="1" applyAlignment="1">
      <alignment horizontal="center" vertical="center" wrapText="1"/>
    </xf>
    <xf numFmtId="0" fontId="23" fillId="13" borderId="112" xfId="0" applyFont="1" applyFill="1" applyBorder="1" applyAlignment="1">
      <alignment horizontal="center" vertical="center" wrapText="1"/>
    </xf>
    <xf numFmtId="0" fontId="2" fillId="0" borderId="112" xfId="0" applyFont="1" applyBorder="1" applyAlignment="1">
      <alignment horizontal="center" vertical="center" wrapText="1"/>
    </xf>
    <xf numFmtId="0" fontId="2" fillId="0" borderId="112" xfId="0" applyFont="1" applyBorder="1" applyAlignment="1">
      <alignment vertical="center" wrapText="1"/>
    </xf>
    <xf numFmtId="0" fontId="54" fillId="36" borderId="112" xfId="0" applyFont="1" applyFill="1" applyBorder="1" applyAlignment="1">
      <alignment horizontal="center" vertical="center"/>
    </xf>
    <xf numFmtId="0" fontId="55" fillId="0" borderId="112" xfId="0" applyFont="1" applyBorder="1" applyAlignment="1">
      <alignment horizontal="center"/>
    </xf>
    <xf numFmtId="0" fontId="18" fillId="0" borderId="34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56" fillId="13" borderId="112" xfId="0" applyFont="1" applyFill="1" applyBorder="1" applyAlignment="1">
      <alignment horizontal="center" vertical="center" wrapText="1"/>
    </xf>
    <xf numFmtId="0" fontId="57" fillId="0" borderId="112" xfId="0" applyFont="1" applyBorder="1" applyAlignment="1">
      <alignment horizontal="center" vertical="center" wrapText="1"/>
    </xf>
    <xf numFmtId="0" fontId="56" fillId="7" borderId="112" xfId="0" applyFont="1" applyFill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58" fillId="35" borderId="112" xfId="0" applyFont="1" applyFill="1" applyBorder="1" applyAlignment="1">
      <alignment horizontal="center" vertical="center"/>
    </xf>
    <xf numFmtId="0" fontId="58" fillId="34" borderId="112" xfId="0" applyFont="1" applyFill="1" applyBorder="1" applyAlignment="1">
      <alignment horizontal="center" vertical="center"/>
    </xf>
    <xf numFmtId="0" fontId="58" fillId="33" borderId="112" xfId="0" applyFont="1" applyFill="1" applyBorder="1" applyAlignment="1">
      <alignment horizontal="center" vertical="center"/>
    </xf>
    <xf numFmtId="0" fontId="59" fillId="0" borderId="112" xfId="0" applyFont="1" applyBorder="1" applyAlignment="1">
      <alignment horizontal="center" vertical="center" wrapText="1"/>
    </xf>
    <xf numFmtId="0" fontId="60" fillId="0" borderId="35" xfId="0" applyFont="1" applyBorder="1" applyAlignment="1">
      <alignment horizontal="center" vertical="center" wrapText="1"/>
    </xf>
    <xf numFmtId="0" fontId="60" fillId="0" borderId="34" xfId="0" applyFont="1" applyBorder="1" applyAlignment="1">
      <alignment horizontal="center" vertical="center" wrapText="1"/>
    </xf>
    <xf numFmtId="0" fontId="60" fillId="0" borderId="33" xfId="0" applyFont="1" applyBorder="1" applyAlignment="1">
      <alignment horizontal="center" vertical="center" wrapText="1"/>
    </xf>
    <xf numFmtId="0" fontId="61" fillId="0" borderId="41" xfId="0" applyFont="1" applyBorder="1" applyAlignment="1">
      <alignment horizontal="center" vertical="center" wrapText="1"/>
    </xf>
    <xf numFmtId="0" fontId="61" fillId="0" borderId="34" xfId="0" applyFont="1" applyBorder="1" applyAlignment="1">
      <alignment horizontal="center" vertical="center" wrapText="1"/>
    </xf>
    <xf numFmtId="0" fontId="61" fillId="0" borderId="33" xfId="0" applyFont="1" applyBorder="1" applyAlignment="1">
      <alignment horizontal="center" vertical="center" wrapText="1"/>
    </xf>
    <xf numFmtId="0" fontId="62" fillId="0" borderId="113" xfId="0" applyFont="1" applyBorder="1" applyAlignment="1">
      <alignment horizontal="center" vertical="center" wrapText="1"/>
    </xf>
    <xf numFmtId="0" fontId="62" fillId="0" borderId="34" xfId="0" applyFont="1" applyBorder="1" applyAlignment="1">
      <alignment horizontal="center" vertical="center" wrapText="1"/>
    </xf>
    <xf numFmtId="0" fontId="58" fillId="36" borderId="112" xfId="0" applyFont="1" applyFill="1" applyBorder="1" applyAlignment="1">
      <alignment horizontal="center" vertical="center"/>
    </xf>
    <xf numFmtId="0" fontId="64" fillId="0" borderId="40" xfId="0" applyFont="1" applyBorder="1" applyAlignment="1">
      <alignment horizontal="center" vertical="center" wrapText="1"/>
    </xf>
    <xf numFmtId="0" fontId="57" fillId="0" borderId="116" xfId="0" applyFont="1" applyBorder="1" applyAlignment="1">
      <alignment horizontal="center" vertical="center" wrapText="1"/>
    </xf>
    <xf numFmtId="0" fontId="56" fillId="7" borderId="116" xfId="0" applyFont="1" applyFill="1" applyBorder="1" applyAlignment="1">
      <alignment horizontal="center" vertical="center" wrapText="1"/>
    </xf>
    <xf numFmtId="0" fontId="56" fillId="13" borderId="116" xfId="0" applyFont="1" applyFill="1" applyBorder="1" applyAlignment="1">
      <alignment horizontal="center" vertical="center" wrapText="1"/>
    </xf>
    <xf numFmtId="0" fontId="57" fillId="0" borderId="73" xfId="0" applyFont="1" applyBorder="1" applyAlignment="1">
      <alignment horizontal="center" vertical="center" wrapText="1"/>
    </xf>
    <xf numFmtId="0" fontId="57" fillId="0" borderId="29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57" fillId="0" borderId="37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57" fillId="0" borderId="36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57" fillId="0" borderId="118" xfId="0" applyFont="1" applyBorder="1" applyAlignment="1">
      <alignment horizontal="center" vertical="center" wrapText="1"/>
    </xf>
    <xf numFmtId="0" fontId="2" fillId="0" borderId="118" xfId="0" applyFont="1" applyBorder="1" applyAlignment="1">
      <alignment horizontal="center" vertical="center" wrapText="1"/>
    </xf>
    <xf numFmtId="0" fontId="2" fillId="0" borderId="118" xfId="0" applyFont="1" applyBorder="1" applyAlignment="1">
      <alignment vertical="center" wrapText="1"/>
    </xf>
    <xf numFmtId="0" fontId="56" fillId="7" borderId="118" xfId="0" applyFont="1" applyFill="1" applyBorder="1" applyAlignment="1">
      <alignment horizontal="center" vertical="center" wrapText="1"/>
    </xf>
    <xf numFmtId="0" fontId="56" fillId="13" borderId="11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2" xfId="0" applyFont="1" applyBorder="1" applyAlignment="1">
      <alignment vertical="center"/>
    </xf>
    <xf numFmtId="0" fontId="57" fillId="0" borderId="112" xfId="0" applyFont="1" applyBorder="1" applyAlignment="1">
      <alignment horizontal="center" vertical="center"/>
    </xf>
    <xf numFmtId="49" fontId="57" fillId="0" borderId="112" xfId="0" applyNumberFormat="1" applyFont="1" applyBorder="1" applyAlignment="1">
      <alignment horizontal="center" vertical="center"/>
    </xf>
    <xf numFmtId="49" fontId="57" fillId="0" borderId="112" xfId="0" applyNumberFormat="1" applyFont="1" applyBorder="1" applyAlignment="1">
      <alignment horizontal="center" vertical="center" wrapText="1"/>
    </xf>
    <xf numFmtId="0" fontId="66" fillId="37" borderId="112" xfId="0" applyFont="1" applyFill="1" applyBorder="1" applyAlignment="1">
      <alignment wrapText="1"/>
    </xf>
    <xf numFmtId="0" fontId="67" fillId="37" borderId="112" xfId="0" applyFont="1" applyFill="1" applyBorder="1" applyAlignment="1">
      <alignment wrapText="1"/>
    </xf>
    <xf numFmtId="0" fontId="57" fillId="0" borderId="112" xfId="0" applyFont="1" applyBorder="1" applyAlignment="1">
      <alignment vertical="center"/>
    </xf>
    <xf numFmtId="0" fontId="57" fillId="0" borderId="112" xfId="0" applyFont="1" applyBorder="1" applyAlignment="1">
      <alignment vertical="center" wrapText="1"/>
    </xf>
    <xf numFmtId="0" fontId="56" fillId="12" borderId="0" xfId="0" applyFont="1" applyFill="1" applyAlignment="1">
      <alignment vertical="center" wrapText="1"/>
    </xf>
    <xf numFmtId="49" fontId="57" fillId="0" borderId="116" xfId="0" applyNumberFormat="1" applyFont="1" applyBorder="1" applyAlignment="1">
      <alignment horizontal="center" vertical="center"/>
    </xf>
    <xf numFmtId="0" fontId="66" fillId="37" borderId="116" xfId="0" applyFont="1" applyFill="1" applyBorder="1" applyAlignment="1">
      <alignment wrapText="1"/>
    </xf>
    <xf numFmtId="0" fontId="2" fillId="0" borderId="116" xfId="0" applyFont="1" applyBorder="1" applyAlignment="1">
      <alignment horizontal="center" vertical="center" wrapText="1"/>
    </xf>
    <xf numFmtId="0" fontId="2" fillId="0" borderId="116" xfId="0" applyFont="1" applyBorder="1" applyAlignment="1">
      <alignment vertical="center" wrapText="1"/>
    </xf>
    <xf numFmtId="0" fontId="57" fillId="0" borderId="115" xfId="0" applyFont="1" applyBorder="1" applyAlignment="1">
      <alignment vertical="center"/>
    </xf>
    <xf numFmtId="49" fontId="57" fillId="0" borderId="118" xfId="0" applyNumberFormat="1" applyFont="1" applyBorder="1" applyAlignment="1">
      <alignment horizontal="center" vertical="center"/>
    </xf>
    <xf numFmtId="0" fontId="66" fillId="37" borderId="118" xfId="0" applyFont="1" applyFill="1" applyBorder="1" applyAlignment="1">
      <alignment wrapText="1"/>
    </xf>
    <xf numFmtId="0" fontId="57" fillId="0" borderId="118" xfId="0" applyFont="1" applyBorder="1" applyAlignment="1">
      <alignment vertical="center" wrapText="1"/>
    </xf>
    <xf numFmtId="0" fontId="57" fillId="0" borderId="1" xfId="0" applyFont="1" applyBorder="1" applyAlignment="1">
      <alignment vertical="center"/>
    </xf>
    <xf numFmtId="0" fontId="57" fillId="0" borderId="119" xfId="0" applyFont="1" applyBorder="1" applyAlignment="1">
      <alignment vertical="center"/>
    </xf>
    <xf numFmtId="49" fontId="57" fillId="0" borderId="118" xfId="0" applyNumberFormat="1" applyFont="1" applyBorder="1" applyAlignment="1">
      <alignment horizontal="center" vertical="center" wrapText="1"/>
    </xf>
    <xf numFmtId="0" fontId="2" fillId="0" borderId="117" xfId="0" applyFont="1" applyBorder="1" applyAlignment="1">
      <alignment vertical="center" wrapText="1"/>
    </xf>
    <xf numFmtId="0" fontId="2" fillId="0" borderId="73" xfId="0" applyFont="1" applyBorder="1" applyAlignment="1">
      <alignment horizontal="center" vertical="center" wrapText="1"/>
    </xf>
    <xf numFmtId="49" fontId="57" fillId="0" borderId="29" xfId="0" applyNumberFormat="1" applyFont="1" applyBorder="1" applyAlignment="1">
      <alignment horizontal="center" vertical="center" wrapText="1"/>
    </xf>
    <xf numFmtId="0" fontId="57" fillId="0" borderId="71" xfId="0" applyFont="1" applyBorder="1" applyAlignment="1">
      <alignment horizontal="center" vertical="center" wrapText="1"/>
    </xf>
    <xf numFmtId="0" fontId="2" fillId="0" borderId="73" xfId="0" applyFont="1" applyBorder="1" applyAlignment="1">
      <alignment vertical="center" wrapText="1"/>
    </xf>
    <xf numFmtId="0" fontId="2" fillId="0" borderId="37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49" fontId="2" fillId="0" borderId="31" xfId="0" applyNumberFormat="1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0" xfId="0" applyFont="1" applyBorder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3" xfId="0" applyFont="1" applyBorder="1" applyAlignment="1">
      <alignment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55" xfId="0" applyFont="1" applyBorder="1" applyAlignment="1">
      <alignment vertical="center" wrapText="1"/>
    </xf>
    <xf numFmtId="0" fontId="2" fillId="0" borderId="56" xfId="0" applyFont="1" applyBorder="1" applyAlignment="1">
      <alignment vertical="center" wrapText="1"/>
    </xf>
    <xf numFmtId="0" fontId="2" fillId="0" borderId="51" xfId="0" applyFont="1" applyBorder="1" applyAlignment="1">
      <alignment vertical="center" wrapText="1"/>
    </xf>
    <xf numFmtId="0" fontId="2" fillId="0" borderId="52" xfId="0" applyFont="1" applyBorder="1" applyAlignment="1">
      <alignment vertical="center" wrapText="1"/>
    </xf>
    <xf numFmtId="0" fontId="2" fillId="0" borderId="53" xfId="0" applyFont="1" applyBorder="1" applyAlignment="1">
      <alignment vertical="center" wrapText="1"/>
    </xf>
    <xf numFmtId="0" fontId="2" fillId="0" borderId="54" xfId="0" applyFont="1" applyBorder="1" applyAlignment="1">
      <alignment vertical="center" wrapText="1"/>
    </xf>
    <xf numFmtId="0" fontId="62" fillId="0" borderId="33" xfId="0" applyFont="1" applyBorder="1" applyAlignment="1">
      <alignment horizontal="center" vertical="center" wrapText="1"/>
    </xf>
    <xf numFmtId="0" fontId="2" fillId="0" borderId="123" xfId="0" applyFont="1" applyBorder="1" applyAlignment="1">
      <alignment vertical="center"/>
    </xf>
    <xf numFmtId="0" fontId="57" fillId="0" borderId="123" xfId="0" applyFont="1" applyBorder="1" applyAlignment="1">
      <alignment horizontal="center" vertical="center"/>
    </xf>
    <xf numFmtId="49" fontId="57" fillId="0" borderId="123" xfId="0" applyNumberFormat="1" applyFont="1" applyBorder="1" applyAlignment="1">
      <alignment horizontal="center" vertical="center"/>
    </xf>
    <xf numFmtId="0" fontId="57" fillId="0" borderId="123" xfId="0" applyFont="1" applyBorder="1" applyAlignment="1">
      <alignment horizontal="center" vertical="center" wrapText="1"/>
    </xf>
    <xf numFmtId="0" fontId="63" fillId="16" borderId="118" xfId="0" applyFont="1" applyFill="1" applyBorder="1" applyAlignment="1">
      <alignment horizontal="center" vertical="center" wrapText="1"/>
    </xf>
    <xf numFmtId="0" fontId="63" fillId="16" borderId="118" xfId="0" applyFont="1" applyFill="1" applyBorder="1" applyAlignment="1">
      <alignment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5" fillId="22" borderId="46" xfId="0" applyFont="1" applyFill="1" applyBorder="1" applyAlignment="1">
      <alignment horizontal="center" vertical="center" wrapText="1"/>
    </xf>
    <xf numFmtId="0" fontId="25" fillId="22" borderId="48" xfId="0" applyFont="1" applyFill="1" applyBorder="1" applyAlignment="1">
      <alignment horizontal="center" vertical="center" wrapText="1"/>
    </xf>
    <xf numFmtId="0" fontId="2" fillId="23" borderId="49" xfId="0" applyFont="1" applyFill="1" applyBorder="1" applyAlignment="1">
      <alignment horizontal="center" vertical="center" wrapText="1"/>
    </xf>
    <xf numFmtId="0" fontId="2" fillId="23" borderId="50" xfId="0" applyFont="1" applyFill="1" applyBorder="1" applyAlignment="1">
      <alignment horizontal="center" vertical="center" wrapText="1"/>
    </xf>
    <xf numFmtId="0" fontId="25" fillId="20" borderId="46" xfId="0" applyFont="1" applyFill="1" applyBorder="1" applyAlignment="1">
      <alignment horizontal="center" vertical="center" wrapText="1"/>
    </xf>
    <xf numFmtId="0" fontId="25" fillId="20" borderId="0" xfId="0" applyFont="1" applyFill="1" applyAlignment="1">
      <alignment horizontal="center" vertical="center" wrapText="1"/>
    </xf>
    <xf numFmtId="0" fontId="25" fillId="20" borderId="47" xfId="0" applyFont="1" applyFill="1" applyBorder="1" applyAlignment="1">
      <alignment horizontal="center" vertical="center" wrapText="1"/>
    </xf>
    <xf numFmtId="0" fontId="17" fillId="19" borderId="46" xfId="0" applyFont="1" applyFill="1" applyBorder="1" applyAlignment="1">
      <alignment horizontal="center" vertical="center" wrapText="1"/>
    </xf>
    <xf numFmtId="0" fontId="17" fillId="19" borderId="0" xfId="0" applyFont="1" applyFill="1" applyAlignment="1">
      <alignment horizontal="center" vertical="center" wrapText="1"/>
    </xf>
    <xf numFmtId="0" fontId="17" fillId="19" borderId="47" xfId="0" applyFont="1" applyFill="1" applyBorder="1" applyAlignment="1">
      <alignment horizontal="center" vertical="center" wrapText="1"/>
    </xf>
    <xf numFmtId="0" fontId="17" fillId="15" borderId="39" xfId="0" applyFont="1" applyFill="1" applyBorder="1" applyAlignment="1">
      <alignment horizontal="center" vertical="center" wrapText="1"/>
    </xf>
    <xf numFmtId="0" fontId="17" fillId="15" borderId="41" xfId="0" applyFont="1" applyFill="1" applyBorder="1" applyAlignment="1">
      <alignment horizontal="center" vertical="center" wrapText="1"/>
    </xf>
    <xf numFmtId="0" fontId="25" fillId="14" borderId="29" xfId="0" applyFont="1" applyFill="1" applyBorder="1" applyAlignment="1">
      <alignment horizontal="center" vertical="center" wrapText="1"/>
    </xf>
    <xf numFmtId="0" fontId="25" fillId="14" borderId="37" xfId="0" applyFont="1" applyFill="1" applyBorder="1" applyAlignment="1">
      <alignment horizontal="center" vertical="center" wrapText="1"/>
    </xf>
    <xf numFmtId="0" fontId="22" fillId="16" borderId="120" xfId="0" applyFont="1" applyFill="1" applyBorder="1" applyAlignment="1">
      <alignment horizontal="center" vertical="center" wrapText="1"/>
    </xf>
    <xf numFmtId="0" fontId="22" fillId="16" borderId="121" xfId="0" applyFont="1" applyFill="1" applyBorder="1" applyAlignment="1">
      <alignment horizontal="center" vertical="center" wrapText="1"/>
    </xf>
    <xf numFmtId="0" fontId="22" fillId="16" borderId="122" xfId="0" applyFont="1" applyFill="1" applyBorder="1" applyAlignment="1">
      <alignment horizontal="center" vertical="center" wrapText="1"/>
    </xf>
    <xf numFmtId="0" fontId="22" fillId="16" borderId="118" xfId="0" applyFont="1" applyFill="1" applyBorder="1" applyAlignment="1">
      <alignment horizontal="center" vertical="center" wrapText="1"/>
    </xf>
    <xf numFmtId="0" fontId="25" fillId="11" borderId="73" xfId="0" applyFont="1" applyFill="1" applyBorder="1" applyAlignment="1">
      <alignment horizontal="center" vertical="center" wrapText="1"/>
    </xf>
    <xf numFmtId="0" fontId="25" fillId="11" borderId="29" xfId="0" applyFont="1" applyFill="1" applyBorder="1" applyAlignment="1">
      <alignment horizontal="center" vertical="center" wrapText="1"/>
    </xf>
    <xf numFmtId="0" fontId="63" fillId="16" borderId="118" xfId="0" applyFont="1" applyFill="1" applyBorder="1" applyAlignment="1">
      <alignment horizontal="center" vertical="center" wrapText="1"/>
    </xf>
    <xf numFmtId="0" fontId="65" fillId="8" borderId="30" xfId="0" applyFont="1" applyFill="1" applyBorder="1" applyAlignment="1">
      <alignment horizontal="center" vertical="center" wrapText="1"/>
    </xf>
    <xf numFmtId="0" fontId="65" fillId="8" borderId="31" xfId="0" applyFont="1" applyFill="1" applyBorder="1" applyAlignment="1">
      <alignment horizontal="center" vertical="center" wrapText="1"/>
    </xf>
    <xf numFmtId="0" fontId="65" fillId="8" borderId="32" xfId="0" applyFont="1" applyFill="1" applyBorder="1" applyAlignment="1">
      <alignment horizontal="center" vertical="center" wrapText="1"/>
    </xf>
    <xf numFmtId="0" fontId="25" fillId="9" borderId="38" xfId="0" applyFont="1" applyFill="1" applyBorder="1" applyAlignment="1">
      <alignment horizontal="center" vertical="center" wrapText="1"/>
    </xf>
    <xf numFmtId="0" fontId="25" fillId="9" borderId="31" xfId="0" applyFont="1" applyFill="1" applyBorder="1" applyAlignment="1">
      <alignment horizontal="center" vertical="center" wrapText="1"/>
    </xf>
    <xf numFmtId="0" fontId="25" fillId="9" borderId="39" xfId="0" applyFont="1" applyFill="1" applyBorder="1" applyAlignment="1">
      <alignment horizontal="center" vertical="center" wrapText="1"/>
    </xf>
    <xf numFmtId="0" fontId="65" fillId="6" borderId="30" xfId="0" applyFont="1" applyFill="1" applyBorder="1" applyAlignment="1">
      <alignment horizontal="center" vertical="center" wrapText="1"/>
    </xf>
    <xf numFmtId="0" fontId="65" fillId="6" borderId="31" xfId="0" applyFont="1" applyFill="1" applyBorder="1" applyAlignment="1">
      <alignment horizontal="center" vertical="center" wrapText="1"/>
    </xf>
    <xf numFmtId="0" fontId="65" fillId="6" borderId="32" xfId="0" applyFont="1" applyFill="1" applyBorder="1" applyAlignment="1">
      <alignment horizontal="center" vertical="center" wrapText="1"/>
    </xf>
    <xf numFmtId="0" fontId="65" fillId="10" borderId="38" xfId="0" applyFont="1" applyFill="1" applyBorder="1" applyAlignment="1">
      <alignment horizontal="center" vertical="center" wrapText="1"/>
    </xf>
    <xf numFmtId="0" fontId="65" fillId="10" borderId="31" xfId="0" applyFont="1" applyFill="1" applyBorder="1" applyAlignment="1">
      <alignment horizontal="center" vertical="center" wrapText="1"/>
    </xf>
    <xf numFmtId="0" fontId="65" fillId="10" borderId="39" xfId="0" applyFont="1" applyFill="1" applyBorder="1" applyAlignment="1">
      <alignment horizontal="center" vertical="center" wrapText="1"/>
    </xf>
    <xf numFmtId="0" fontId="25" fillId="17" borderId="0" xfId="0" applyFont="1" applyFill="1" applyAlignment="1">
      <alignment horizontal="center" vertical="center" wrapText="1"/>
    </xf>
    <xf numFmtId="0" fontId="17" fillId="15" borderId="30" xfId="0" applyFont="1" applyFill="1" applyBorder="1" applyAlignment="1">
      <alignment horizontal="center" vertical="center" wrapText="1"/>
    </xf>
    <xf numFmtId="0" fontId="17" fillId="15" borderId="33" xfId="0" applyFont="1" applyFill="1" applyBorder="1" applyAlignment="1">
      <alignment horizontal="center" vertical="center" wrapText="1"/>
    </xf>
    <xf numFmtId="0" fontId="17" fillId="15" borderId="31" xfId="0" applyFont="1" applyFill="1" applyBorder="1" applyAlignment="1">
      <alignment horizontal="center" vertical="center" wrapText="1"/>
    </xf>
    <xf numFmtId="0" fontId="17" fillId="15" borderId="34" xfId="0" applyFont="1" applyFill="1" applyBorder="1" applyAlignment="1">
      <alignment horizontal="center" vertical="center" wrapText="1"/>
    </xf>
    <xf numFmtId="0" fontId="23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0" fontId="25" fillId="18" borderId="0" xfId="0" applyFont="1" applyFill="1" applyAlignment="1">
      <alignment horizontal="center" vertical="center" wrapText="1"/>
    </xf>
    <xf numFmtId="0" fontId="17" fillId="15" borderId="114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vertical="center" wrapText="1"/>
    </xf>
    <xf numFmtId="0" fontId="9" fillId="5" borderId="24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9" fillId="5" borderId="17" xfId="0" applyFont="1" applyFill="1" applyBorder="1" applyAlignment="1">
      <alignment horizontal="left" vertical="center" wrapText="1"/>
    </xf>
    <xf numFmtId="0" fontId="9" fillId="5" borderId="15" xfId="0" applyFont="1" applyFill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9" fillId="5" borderId="28" xfId="0" applyFont="1" applyFill="1" applyBorder="1" applyAlignment="1">
      <alignment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1" fillId="5" borderId="24" xfId="0" applyFont="1" applyFill="1" applyBorder="1" applyAlignment="1">
      <alignment vertical="center" wrapText="1"/>
    </xf>
    <xf numFmtId="0" fontId="9" fillId="0" borderId="14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21" fillId="6" borderId="0" xfId="0" applyFont="1" applyFill="1" applyAlignment="1">
      <alignment horizontal="center"/>
    </xf>
    <xf numFmtId="0" fontId="21" fillId="10" borderId="0" xfId="0" applyFont="1" applyFill="1" applyAlignment="1">
      <alignment horizontal="center"/>
    </xf>
    <xf numFmtId="0" fontId="20" fillId="21" borderId="0" xfId="0" applyFont="1" applyFill="1" applyAlignment="1">
      <alignment horizontal="center"/>
    </xf>
    <xf numFmtId="0" fontId="25" fillId="14" borderId="57" xfId="0" applyFont="1" applyFill="1" applyBorder="1" applyAlignment="1">
      <alignment horizontal="center" vertical="center"/>
    </xf>
    <xf numFmtId="0" fontId="25" fillId="14" borderId="58" xfId="0" applyFont="1" applyFill="1" applyBorder="1" applyAlignment="1">
      <alignment horizontal="center" vertical="center"/>
    </xf>
    <xf numFmtId="0" fontId="25" fillId="14" borderId="74" xfId="0" applyFont="1" applyFill="1" applyBorder="1" applyAlignment="1">
      <alignment horizontal="center" vertical="center"/>
    </xf>
    <xf numFmtId="0" fontId="25" fillId="14" borderId="75" xfId="0" applyFont="1" applyFill="1" applyBorder="1" applyAlignment="1">
      <alignment horizontal="center" vertical="center"/>
    </xf>
    <xf numFmtId="0" fontId="25" fillId="14" borderId="76" xfId="0" applyFont="1" applyFill="1" applyBorder="1" applyAlignment="1">
      <alignment horizontal="center" vertical="center"/>
    </xf>
    <xf numFmtId="0" fontId="35" fillId="0" borderId="81" xfId="0" applyFont="1" applyBorder="1" applyAlignment="1">
      <alignment horizontal="left" vertical="center"/>
    </xf>
    <xf numFmtId="0" fontId="29" fillId="26" borderId="96" xfId="0" applyFont="1" applyFill="1" applyBorder="1" applyAlignment="1">
      <alignment horizontal="center" vertical="center"/>
    </xf>
    <xf numFmtId="0" fontId="29" fillId="26" borderId="97" xfId="0" applyFont="1" applyFill="1" applyBorder="1" applyAlignment="1">
      <alignment horizontal="center" vertical="center"/>
    </xf>
    <xf numFmtId="0" fontId="29" fillId="26" borderId="94" xfId="0" applyFont="1" applyFill="1" applyBorder="1" applyAlignment="1">
      <alignment horizontal="center" vertical="center"/>
    </xf>
    <xf numFmtId="0" fontId="29" fillId="26" borderId="81" xfId="0" applyFont="1" applyFill="1" applyBorder="1" applyAlignment="1">
      <alignment horizontal="center" vertical="center"/>
    </xf>
    <xf numFmtId="0" fontId="29" fillId="26" borderId="82" xfId="0" applyFont="1" applyFill="1" applyBorder="1" applyAlignment="1">
      <alignment horizontal="center" vertical="center"/>
    </xf>
    <xf numFmtId="0" fontId="29" fillId="5" borderId="84" xfId="0" applyFont="1" applyFill="1" applyBorder="1" applyAlignment="1">
      <alignment horizontal="center" vertical="center" textRotation="90"/>
    </xf>
    <xf numFmtId="0" fontId="29" fillId="5" borderId="81" xfId="0" applyFont="1" applyFill="1" applyBorder="1" applyAlignment="1">
      <alignment horizontal="center" vertical="center" textRotation="90"/>
    </xf>
    <xf numFmtId="0" fontId="29" fillId="5" borderId="82" xfId="0" applyFont="1" applyFill="1" applyBorder="1" applyAlignment="1">
      <alignment horizontal="center" vertical="center" textRotation="90"/>
    </xf>
    <xf numFmtId="0" fontId="29" fillId="26" borderId="84" xfId="0" applyFont="1" applyFill="1" applyBorder="1" applyAlignment="1">
      <alignment horizontal="center" vertical="center"/>
    </xf>
    <xf numFmtId="0" fontId="30" fillId="0" borderId="84" xfId="0" applyFont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33" fillId="0" borderId="81" xfId="0" applyFont="1" applyBorder="1" applyAlignment="1">
      <alignment horizontal="left" vertical="center"/>
    </xf>
    <xf numFmtId="0" fontId="37" fillId="0" borderId="81" xfId="0" applyFont="1" applyBorder="1" applyAlignment="1">
      <alignment horizontal="left" vertical="center"/>
    </xf>
    <xf numFmtId="0" fontId="30" fillId="0" borderId="81" xfId="0" applyFont="1" applyBorder="1" applyAlignment="1">
      <alignment horizontal="left" vertical="center"/>
    </xf>
    <xf numFmtId="0" fontId="30" fillId="0" borderId="84" xfId="0" applyFont="1" applyBorder="1" applyAlignment="1">
      <alignment horizontal="left" vertical="center"/>
    </xf>
    <xf numFmtId="0" fontId="34" fillId="31" borderId="84" xfId="0" applyFont="1" applyFill="1" applyBorder="1" applyAlignment="1">
      <alignment horizontal="center" vertical="center" textRotation="90"/>
    </xf>
    <xf numFmtId="0" fontId="34" fillId="31" borderId="81" xfId="0" applyFont="1" applyFill="1" applyBorder="1" applyAlignment="1">
      <alignment horizontal="center" vertical="center" textRotation="90"/>
    </xf>
    <xf numFmtId="0" fontId="34" fillId="31" borderId="82" xfId="0" applyFont="1" applyFill="1" applyBorder="1" applyAlignment="1">
      <alignment horizontal="center" vertical="center" textRotation="90"/>
    </xf>
    <xf numFmtId="0" fontId="45" fillId="28" borderId="84" xfId="0" applyFont="1" applyFill="1" applyBorder="1" applyAlignment="1">
      <alignment horizontal="center" vertical="center"/>
    </xf>
    <xf numFmtId="0" fontId="45" fillId="28" borderId="81" xfId="0" applyFont="1" applyFill="1" applyBorder="1" applyAlignment="1">
      <alignment horizontal="center" vertical="center"/>
    </xf>
    <xf numFmtId="0" fontId="45" fillId="32" borderId="84" xfId="0" applyFont="1" applyFill="1" applyBorder="1" applyAlignment="1">
      <alignment horizontal="center" vertical="center" textRotation="90"/>
    </xf>
    <xf numFmtId="0" fontId="45" fillId="32" borderId="81" xfId="0" applyFont="1" applyFill="1" applyBorder="1" applyAlignment="1">
      <alignment horizontal="center" vertical="center" textRotation="90"/>
    </xf>
    <xf numFmtId="0" fontId="45" fillId="32" borderId="82" xfId="0" applyFont="1" applyFill="1" applyBorder="1" applyAlignment="1">
      <alignment horizontal="center" vertical="center" textRotation="90"/>
    </xf>
    <xf numFmtId="0" fontId="34" fillId="14" borderId="98" xfId="0" applyFont="1" applyFill="1" applyBorder="1" applyAlignment="1">
      <alignment horizontal="center" vertical="center" textRotation="90"/>
    </xf>
    <xf numFmtId="0" fontId="34" fillId="14" borderId="0" xfId="0" applyFont="1" applyFill="1" applyAlignment="1">
      <alignment horizontal="center" vertical="center" textRotation="90"/>
    </xf>
    <xf numFmtId="0" fontId="44" fillId="14" borderId="89" xfId="0" applyFont="1" applyFill="1" applyBorder="1" applyAlignment="1">
      <alignment horizontal="center" vertical="center" textRotation="90"/>
    </xf>
    <xf numFmtId="0" fontId="45" fillId="28" borderId="82" xfId="0" applyFont="1" applyFill="1" applyBorder="1" applyAlignment="1">
      <alignment horizontal="center" vertical="center"/>
    </xf>
    <xf numFmtId="0" fontId="38" fillId="22" borderId="98" xfId="0" applyFont="1" applyFill="1" applyBorder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46" fillId="22" borderId="89" xfId="0" applyFont="1" applyFill="1" applyBorder="1" applyAlignment="1">
      <alignment horizontal="center" vertical="center"/>
    </xf>
    <xf numFmtId="0" fontId="29" fillId="27" borderId="84" xfId="0" applyFont="1" applyFill="1" applyBorder="1" applyAlignment="1">
      <alignment horizontal="center" vertical="center"/>
    </xf>
    <xf numFmtId="0" fontId="29" fillId="27" borderId="81" xfId="0" applyFont="1" applyFill="1" applyBorder="1" applyAlignment="1">
      <alignment horizontal="center" vertical="center"/>
    </xf>
    <xf numFmtId="0" fontId="29" fillId="27" borderId="82" xfId="0" applyFont="1" applyFill="1" applyBorder="1" applyAlignment="1">
      <alignment horizontal="center" vertical="center"/>
    </xf>
  </cellXfs>
  <cellStyles count="4">
    <cellStyle name="Accent1" xfId="3" builtinId="29"/>
    <cellStyle name="Normal" xfId="0" builtinId="0"/>
    <cellStyle name="Normal 2" xfId="1" xr:uid="{F20B96B0-A44E-4A90-AF5D-19BA3E59ABBC}"/>
    <cellStyle name="Percent" xfId="2" builtinId="5"/>
  </cellStyles>
  <dxfs count="197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border>
        <bottom style="medium">
          <color auto="1"/>
        </bottom>
      </border>
    </dxf>
    <dxf>
      <border>
        <bottom style="medium">
          <color auto="1"/>
        </bottom>
      </border>
    </dxf>
    <dxf>
      <font>
        <name val="Aptos Display"/>
        <family val="2"/>
        <scheme val="major"/>
      </font>
    </dxf>
    <dxf>
      <font>
        <name val="Aptos Display"/>
        <family val="2"/>
        <scheme val="major"/>
      </font>
    </dxf>
    <dxf>
      <font>
        <name val="Aptos Display"/>
        <family val="2"/>
        <scheme val="major"/>
      </font>
    </dxf>
    <dxf>
      <font>
        <name val="Aptos Display"/>
        <family val="2"/>
        <scheme val="major"/>
      </font>
    </dxf>
    <dxf>
      <font>
        <name val="Aptos Display"/>
        <family val="2"/>
        <scheme val="major"/>
      </font>
    </dxf>
    <dxf>
      <font>
        <name val="Aptos Display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name val="Calibri"/>
        <scheme val="none"/>
      </font>
    </dxf>
    <dxf>
      <font>
        <name val="Calibri"/>
        <scheme val="none"/>
      </font>
    </dxf>
    <dxf>
      <font>
        <sz val="11"/>
      </font>
    </dxf>
    <dxf>
      <font>
        <sz val="11"/>
      </font>
    </dxf>
    <dxf>
      <border>
        <bottom style="medium">
          <color auto="1"/>
        </bottom>
      </border>
    </dxf>
    <dxf>
      <font>
        <name val="Aptos Display"/>
        <family val="2"/>
        <scheme val="major"/>
      </font>
    </dxf>
    <dxf>
      <font>
        <name val="Aptos Display"/>
        <family val="2"/>
        <scheme val="major"/>
      </font>
    </dxf>
    <dxf>
      <font>
        <name val="Aptos Display"/>
        <family val="2"/>
        <scheme val="major"/>
      </font>
    </dxf>
    <dxf>
      <font>
        <name val="Aptos Display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fill>
        <patternFill patternType="solid">
          <fgColor indexed="64"/>
          <bgColor theme="3" tint="0.89999084444715716"/>
        </patternFill>
      </fill>
      <alignment horizontal="left"/>
    </dxf>
    <dxf>
      <alignment horizontal="general"/>
    </dxf>
    <dxf>
      <alignment horizontal="general"/>
    </dxf>
    <dxf>
      <border>
        <bottom style="medium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border>
        <bottom style="medium">
          <color auto="1"/>
        </bottom>
      </border>
    </dxf>
    <dxf>
      <border>
        <bottom style="medium">
          <color auto="1"/>
        </bottom>
      </border>
    </dxf>
    <dxf>
      <font>
        <name val="Aptos Display"/>
        <family val="2"/>
        <scheme val="major"/>
      </font>
    </dxf>
    <dxf>
      <font>
        <name val="Aptos Display"/>
        <family val="2"/>
        <scheme val="major"/>
      </font>
    </dxf>
    <dxf>
      <font>
        <name val="Aptos Display"/>
        <family val="2"/>
        <scheme val="major"/>
      </font>
    </dxf>
    <dxf>
      <font>
        <name val="Aptos Display"/>
        <family val="2"/>
        <scheme val="major"/>
      </font>
    </dxf>
    <dxf>
      <font>
        <name val="Aptos Display"/>
        <family val="2"/>
        <scheme val="major"/>
      </font>
    </dxf>
    <dxf>
      <font>
        <name val="Aptos Display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border>
        <bottom style="medium">
          <color auto="1"/>
        </bottom>
      </border>
    </dxf>
    <dxf>
      <border>
        <bottom style="medium">
          <color auto="1"/>
        </bottom>
      </border>
    </dxf>
    <dxf>
      <font>
        <name val="Aptos Display"/>
        <family val="2"/>
        <scheme val="major"/>
      </font>
    </dxf>
    <dxf>
      <font>
        <name val="Aptos Display"/>
        <family val="2"/>
        <scheme val="major"/>
      </font>
    </dxf>
    <dxf>
      <font>
        <name val="Aptos Display"/>
        <family val="2"/>
        <scheme val="major"/>
      </font>
    </dxf>
    <dxf>
      <font>
        <name val="Aptos Display"/>
        <family val="2"/>
        <scheme val="major"/>
      </font>
    </dxf>
    <dxf>
      <font>
        <name val="Aptos Display"/>
        <family val="2"/>
        <scheme val="major"/>
      </font>
    </dxf>
    <dxf>
      <font>
        <name val="Aptos Display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top style="medium">
          <color indexed="64"/>
        </top>
      </border>
    </dxf>
  </dxfs>
  <tableStyles count="0" defaultTableStyle="TableStyleMedium2" defaultPivotStyle="PivotStyleLight16"/>
  <colors>
    <mruColors>
      <color rgb="FF007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206374</xdr:colOff>
      <xdr:row>0</xdr:row>
      <xdr:rowOff>79375</xdr:rowOff>
    </xdr:from>
    <xdr:to>
      <xdr:col>1</xdr:col>
      <xdr:colOff>1385887</xdr:colOff>
      <xdr:row>0</xdr:row>
      <xdr:rowOff>624417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15CE52-33B4-469D-9BB6-C08E1281C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374" y="79375"/>
          <a:ext cx="1444096" cy="545042"/>
        </a:xfrm>
        <a:prstGeom prst="rect">
          <a:avLst/>
        </a:prstGeom>
      </xdr:spPr>
    </xdr:pic>
    <xdr:clientData/>
  </xdr:twoCellAnchor>
  <xdr:twoCellAnchor editAs="oneCell">
    <xdr:from>
      <xdr:col>1</xdr:col>
      <xdr:colOff>1500188</xdr:colOff>
      <xdr:row>0</xdr:row>
      <xdr:rowOff>71437</xdr:rowOff>
    </xdr:from>
    <xdr:to>
      <xdr:col>1</xdr:col>
      <xdr:colOff>2522537</xdr:colOff>
      <xdr:row>0</xdr:row>
      <xdr:rowOff>666750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4256C5-2AAA-4E48-A7B0-CB011468C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4771" y="71437"/>
          <a:ext cx="1022349" cy="59531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v Sharma" refreshedDate="46252.978897106485" createdVersion="8" refreshedVersion="8" minRefreshableVersion="3" recordCount="195" xr:uid="{3776A194-AC13-4A91-9ABC-C46EB22FB892}">
  <cacheSource type="worksheet">
    <worksheetSource ref="B3:C178" sheet="Curr"/>
  </cacheSource>
  <cacheFields count="2">
    <cacheField name="Employee Name" numFmtId="0">
      <sharedItems containsBlank="1"/>
    </cacheField>
    <cacheField name="ARL" numFmtId="0">
      <sharedItems containsString="0" containsBlank="1" containsNumber="1" minValue="5" maxValue="8.1999999999999993" count="9">
        <m/>
        <n v="7"/>
        <n v="8"/>
        <n v="6"/>
        <n v="8.1999999999999993"/>
        <n v="8.1"/>
        <n v="7.1"/>
        <n v="5"/>
        <n v="7.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v Sharma" refreshedDate="46252.979007175927" createdVersion="8" refreshedVersion="8" minRefreshableVersion="3" recordCount="195" xr:uid="{700A4C81-4E8F-4FE4-9EC1-0A7BA06F0FBA}">
  <cacheSource type="worksheet">
    <worksheetSource ref="B3:AG178" sheet="Curr"/>
  </cacheSource>
  <cacheFields count="32">
    <cacheField name="Employee Name" numFmtId="0">
      <sharedItems containsBlank="1"/>
    </cacheField>
    <cacheField name="ARL" numFmtId="0">
      <sharedItems containsString="0" containsBlank="1" containsNumber="1" minValue="5" maxValue="8.1999999999999993"/>
    </cacheField>
    <cacheField name="Exp Info" numFmtId="0">
      <sharedItems containsBlank="1" count="10">
        <m/>
        <s v="Tot (yrs)"/>
        <s v="8-10"/>
        <s v="10+"/>
        <s v="3-5"/>
        <s v="5-7"/>
        <s v="7-8"/>
        <s v="1.5 - 3"/>
        <s v="0.5 - 1.5"/>
        <s v="3 - 5"/>
      </sharedItems>
    </cacheField>
    <cacheField name="Field4" caption="Field4" numFmtId="0">
      <sharedItems containsBlank="1"/>
    </cacheField>
    <cacheField name="Field5" caption="Field5" numFmtId="0">
      <sharedItems containsBlank="1"/>
    </cacheField>
    <cacheField name="Worktypes mirroring NFP Definitions" numFmtId="0">
      <sharedItems containsBlank="1"/>
    </cacheField>
    <cacheField name="Field7" caption="Field7" numFmtId="0">
      <sharedItems containsBlank="1"/>
    </cacheField>
    <cacheField name="Field8" caption="Field8" numFmtId="0">
      <sharedItems containsBlank="1"/>
    </cacheField>
    <cacheField name="Field9" caption="Field9" numFmtId="0">
      <sharedItems containsBlank="1"/>
    </cacheField>
    <cacheField name="Field10" caption="Field10" numFmtId="0">
      <sharedItems containsBlank="1"/>
    </cacheField>
    <cacheField name="Field11" caption="Field11" numFmtId="0">
      <sharedItems containsBlank="1"/>
    </cacheField>
    <cacheField name="Field12" caption="Field12" numFmtId="0">
      <sharedItems containsBlank="1"/>
    </cacheField>
    <cacheField name="Field13" caption="Field13" numFmtId="0">
      <sharedItems containsBlank="1"/>
    </cacheField>
    <cacheField name="Field14" caption="Field14" numFmtId="0">
      <sharedItems containsBlank="1"/>
    </cacheField>
    <cacheField name="Field15" caption="Field15" numFmtId="0">
      <sharedItems containsBlank="1"/>
    </cacheField>
    <cacheField name="Field16" caption="Field16" numFmtId="0">
      <sharedItems containsBlank="1"/>
    </cacheField>
    <cacheField name="Field17" caption="Field17" numFmtId="0">
      <sharedItems containsBlank="1"/>
    </cacheField>
    <cacheField name="Field18" caption="Field18" numFmtId="0">
      <sharedItems containsBlank="1"/>
    </cacheField>
    <cacheField name="Field19" caption="Field19" numFmtId="0">
      <sharedItems containsBlank="1"/>
    </cacheField>
    <cacheField name="Field20" caption="Field20" numFmtId="0">
      <sharedItems containsBlank="1"/>
    </cacheField>
    <cacheField name="Loss runs" numFmtId="0">
      <sharedItems containsBlank="1"/>
    </cacheField>
    <cacheField name="Other Skills &amp; Exposure" numFmtId="0">
      <sharedItems containsBlank="1"/>
    </cacheField>
    <cacheField name="Field23" caption="Field23" numFmtId="0">
      <sharedItems containsBlank="1"/>
    </cacheField>
    <cacheField name="Field24" caption="Field24" numFmtId="0">
      <sharedItems containsBlank="1"/>
    </cacheField>
    <cacheField name="Field25" caption="Field25" numFmtId="0">
      <sharedItems containsBlank="1"/>
    </cacheField>
    <cacheField name="Field26" caption="Field26" numFmtId="0">
      <sharedItems containsBlank="1"/>
    </cacheField>
    <cacheField name="Field27" caption="Field27" numFmtId="0">
      <sharedItems containsBlank="1"/>
    </cacheField>
    <cacheField name="Sys &amp; App Exp" numFmtId="0">
      <sharedItems containsBlank="1"/>
    </cacheField>
    <cacheField name="Field29" caption="Field29" numFmtId="0">
      <sharedItems containsBlank="1"/>
    </cacheField>
    <cacheField name="Field30" caption="Field30" numFmtId="0">
      <sharedItems containsBlank="1"/>
    </cacheField>
    <cacheField name="Field31" caption="Field31" numFmtId="0">
      <sharedItems containsBlank="1"/>
    </cacheField>
    <cacheField name="Designations / Certification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v Sharma" refreshedDate="46252.979059837962" createdVersion="8" refreshedVersion="8" minRefreshableVersion="3" recordCount="195" xr:uid="{9F2BD328-7884-4A83-86BB-D3F8507DE2B8}">
  <cacheSource type="worksheet">
    <worksheetSource ref="B3:AG178" sheet="Curr"/>
  </cacheSource>
  <cacheFields count="32">
    <cacheField name="Employee Name" numFmtId="0">
      <sharedItems containsBlank="1"/>
    </cacheField>
    <cacheField name="ARL" numFmtId="0">
      <sharedItems containsString="0" containsBlank="1" containsNumber="1" minValue="5" maxValue="8.1999999999999993"/>
    </cacheField>
    <cacheField name="Exp Info" numFmtId="0">
      <sharedItems containsBlank="1"/>
    </cacheField>
    <cacheField name="Field4" caption="Field4" numFmtId="0">
      <sharedItems containsBlank="1" count="14">
        <m/>
        <s v="P&amp;C (yrs)"/>
        <s v="5-7"/>
        <s v="8-10"/>
        <s v="7-8"/>
        <s v="3-5"/>
        <s v="1.5 - 3"/>
        <s v="0.5 - 1.5"/>
        <s v="10+"/>
        <s v="0.5"/>
        <s v="3 - 5"/>
        <s v="3 to 5" u="1"/>
        <s v="5 to 7" u="1"/>
        <s v="8 - 10" u="1"/>
      </sharedItems>
    </cacheField>
    <cacheField name="Field5" caption="Field5" numFmtId="0">
      <sharedItems containsBlank="1"/>
    </cacheField>
    <cacheField name="Worktypes mirroring NFP Definitions" numFmtId="0">
      <sharedItems containsBlank="1"/>
    </cacheField>
    <cacheField name="Field7" caption="Field7" numFmtId="0">
      <sharedItems containsBlank="1"/>
    </cacheField>
    <cacheField name="Field8" caption="Field8" numFmtId="0">
      <sharedItems containsBlank="1"/>
    </cacheField>
    <cacheField name="Field9" caption="Field9" numFmtId="0">
      <sharedItems containsBlank="1"/>
    </cacheField>
    <cacheField name="Field10" caption="Field10" numFmtId="0">
      <sharedItems containsBlank="1"/>
    </cacheField>
    <cacheField name="Field11" caption="Field11" numFmtId="0">
      <sharedItems containsBlank="1"/>
    </cacheField>
    <cacheField name="Field12" caption="Field12" numFmtId="0">
      <sharedItems containsBlank="1"/>
    </cacheField>
    <cacheField name="Field13" caption="Field13" numFmtId="0">
      <sharedItems containsBlank="1"/>
    </cacheField>
    <cacheField name="Field14" caption="Field14" numFmtId="0">
      <sharedItems containsBlank="1"/>
    </cacheField>
    <cacheField name="Field15" caption="Field15" numFmtId="0">
      <sharedItems containsBlank="1"/>
    </cacheField>
    <cacheField name="Field16" caption="Field16" numFmtId="0">
      <sharedItems containsBlank="1"/>
    </cacheField>
    <cacheField name="Field17" caption="Field17" numFmtId="0">
      <sharedItems containsBlank="1"/>
    </cacheField>
    <cacheField name="Field18" caption="Field18" numFmtId="0">
      <sharedItems containsBlank="1"/>
    </cacheField>
    <cacheField name="Field19" caption="Field19" numFmtId="0">
      <sharedItems containsBlank="1"/>
    </cacheField>
    <cacheField name="Field20" caption="Field20" numFmtId="0">
      <sharedItems containsBlank="1"/>
    </cacheField>
    <cacheField name="Loss runs" numFmtId="0">
      <sharedItems containsBlank="1"/>
    </cacheField>
    <cacheField name="Other Skills &amp; Exposure" numFmtId="0">
      <sharedItems containsBlank="1"/>
    </cacheField>
    <cacheField name="Field23" caption="Field23" numFmtId="0">
      <sharedItems containsBlank="1"/>
    </cacheField>
    <cacheField name="Field24" caption="Field24" numFmtId="0">
      <sharedItems containsBlank="1"/>
    </cacheField>
    <cacheField name="Field25" caption="Field25" numFmtId="0">
      <sharedItems containsBlank="1"/>
    </cacheField>
    <cacheField name="Field26" caption="Field26" numFmtId="0">
      <sharedItems containsBlank="1"/>
    </cacheField>
    <cacheField name="Field27" caption="Field27" numFmtId="0">
      <sharedItems containsBlank="1"/>
    </cacheField>
    <cacheField name="Sys &amp; App Exp" numFmtId="0">
      <sharedItems containsBlank="1"/>
    </cacheField>
    <cacheField name="Field29" caption="Field29" numFmtId="0">
      <sharedItems containsBlank="1"/>
    </cacheField>
    <cacheField name="Field30" caption="Field30" numFmtId="0">
      <sharedItems containsBlank="1"/>
    </cacheField>
    <cacheField name="Field31" caption="Field31" numFmtId="0">
      <sharedItems containsBlank="1"/>
    </cacheField>
    <cacheField name="Designations / Certification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v Sharma" refreshedDate="46252.979196759261" createdVersion="8" refreshedVersion="8" minRefreshableVersion="3" recordCount="193" xr:uid="{1E2CB553-1291-47EA-89D7-98A754D331DB}">
  <cacheSource type="worksheet">
    <worksheetSource ref="E5:F178" sheet="Curr"/>
  </cacheSource>
  <cacheFields count="2">
    <cacheField name="P&amp;C (yrs)" numFmtId="49">
      <sharedItems containsBlank="1"/>
    </cacheField>
    <cacheField name="Geo Exp" numFmtId="0">
      <sharedItems containsBlank="1" count="22">
        <s v="USA;UK"/>
        <s v="USA"/>
        <s v="UK"/>
        <s v="AUS"/>
        <s v="USA;Canada;"/>
        <s v="UK &amp; AUS"/>
        <s v="APAC &amp; UK"/>
        <s v="USA / UK / AUS / CAN"/>
        <s v="Other;"/>
        <s v="APAC;"/>
        <s v="USA;Canada;AUS;"/>
        <s v="CAN"/>
        <s v="USA;Other"/>
        <s v="USA;Canada"/>
        <s v="Other"/>
        <s v="USA;UK;Canada"/>
        <s v="UK;USA"/>
        <s v="USA;AUS"/>
        <m/>
        <s v="UK &amp; USA" u="1"/>
        <s v="US &amp; Can" u="1"/>
        <s v="APAC and UK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m/>
    <x v="0"/>
  </r>
  <r>
    <m/>
    <x v="0"/>
  </r>
  <r>
    <s v="Jayesh Shetty"/>
    <x v="1"/>
  </r>
  <r>
    <s v="Santosh Chauhan"/>
    <x v="1"/>
  </r>
  <r>
    <s v="Vikram Anand"/>
    <x v="1"/>
  </r>
  <r>
    <s v="Harish Anand"/>
    <x v="2"/>
  </r>
  <r>
    <s v="Pradeep Kumar L"/>
    <x v="2"/>
  </r>
  <r>
    <s v="Shelina Jena"/>
    <x v="1"/>
  </r>
  <r>
    <s v="Veeranagaraj Hiremath"/>
    <x v="1"/>
  </r>
  <r>
    <s v="Amrutha Arali"/>
    <x v="1"/>
  </r>
  <r>
    <s v="M Dhanashekar"/>
    <x v="2"/>
  </r>
  <r>
    <s v="Apoorva H A"/>
    <x v="2"/>
  </r>
  <r>
    <s v="Naresh Moguram"/>
    <x v="1"/>
  </r>
  <r>
    <s v="Vikram Prakash Bhat"/>
    <x v="2"/>
  </r>
  <r>
    <s v="Nidhi Kumari "/>
    <x v="2"/>
  </r>
  <r>
    <s v="Prince Peter"/>
    <x v="1"/>
  </r>
  <r>
    <s v="Joyline Viola Rebello"/>
    <x v="2"/>
  </r>
  <r>
    <s v="Abishek V"/>
    <x v="2"/>
  </r>
  <r>
    <s v="Lakshmipathy Chalicheemala "/>
    <x v="2"/>
  </r>
  <r>
    <s v="Geetanjali G"/>
    <x v="2"/>
  </r>
  <r>
    <s v="Pooja S"/>
    <x v="2"/>
  </r>
  <r>
    <s v="Mohan V Kumar "/>
    <x v="2"/>
  </r>
  <r>
    <s v="Natri Aakash"/>
    <x v="2"/>
  </r>
  <r>
    <s v="Suma P"/>
    <x v="2"/>
  </r>
  <r>
    <s v="Thirumala Reddy S"/>
    <x v="2"/>
  </r>
  <r>
    <s v="Zaiba Sulthana "/>
    <x v="2"/>
  </r>
  <r>
    <s v="Chetankumar Honakeri "/>
    <x v="1"/>
  </r>
  <r>
    <s v="Sanjeev Krishna V"/>
    <x v="2"/>
  </r>
  <r>
    <s v="Binu K Bose"/>
    <x v="1"/>
  </r>
  <r>
    <s v="Rohith R"/>
    <x v="2"/>
  </r>
  <r>
    <s v="Sajith C P"/>
    <x v="2"/>
  </r>
  <r>
    <s v="Sachin AK"/>
    <x v="2"/>
  </r>
  <r>
    <s v="Santhosh HS"/>
    <x v="2"/>
  </r>
  <r>
    <s v="Meagan Lewis"/>
    <x v="2"/>
  </r>
  <r>
    <s v="Sandhya MS"/>
    <x v="2"/>
  </r>
  <r>
    <s v="Arun M U"/>
    <x v="1"/>
  </r>
  <r>
    <s v="Chethan HS"/>
    <x v="2"/>
  </r>
  <r>
    <s v="Harshitha K"/>
    <x v="2"/>
  </r>
  <r>
    <s v="Kiran Doddagoudar"/>
    <x v="2"/>
  </r>
  <r>
    <s v="Manasa BR"/>
    <x v="2"/>
  </r>
  <r>
    <s v="Prakash M"/>
    <x v="1"/>
  </r>
  <r>
    <s v="Ramya R C"/>
    <x v="2"/>
  </r>
  <r>
    <s v="Ranjitha R"/>
    <x v="1"/>
  </r>
  <r>
    <s v="Rehana S"/>
    <x v="1"/>
  </r>
  <r>
    <s v="Sangeetha AN"/>
    <x v="2"/>
  </r>
  <r>
    <s v="Vidyadhar Hiremath"/>
    <x v="2"/>
  </r>
  <r>
    <s v="Ranjit Kumar Peddinti"/>
    <x v="3"/>
  </r>
  <r>
    <s v="Gaurav Sharma"/>
    <x v="3"/>
  </r>
  <r>
    <s v="Spandana S"/>
    <x v="4"/>
  </r>
  <r>
    <s v="A Naveen Reddy"/>
    <x v="1"/>
  </r>
  <r>
    <s v="Abhishek S Malgondkar"/>
    <x v="1"/>
  </r>
  <r>
    <s v="Aishwarya B N"/>
    <x v="5"/>
  </r>
  <r>
    <s v="Akshatha B"/>
    <x v="1"/>
  </r>
  <r>
    <s v="Alvin N J"/>
    <x v="1"/>
  </r>
  <r>
    <s v="Anchal Kumari Vinod Baranwal"/>
    <x v="4"/>
  </r>
  <r>
    <s v="Ansari Mohamed Meeran"/>
    <x v="2"/>
  </r>
  <r>
    <s v="Ariesh Karthick S"/>
    <x v="2"/>
  </r>
  <r>
    <s v="Arjun O"/>
    <x v="2"/>
  </r>
  <r>
    <s v="Arun C"/>
    <x v="6"/>
  </r>
  <r>
    <s v="Ashish K Shyam"/>
    <x v="1"/>
  </r>
  <r>
    <s v="Aswathi P K"/>
    <x v="2"/>
  </r>
  <r>
    <s v="Bangi Afnan Malick"/>
    <x v="1"/>
  </r>
  <r>
    <s v="BRUNDA N"/>
    <x v="2"/>
  </r>
  <r>
    <s v="Chandrashekara T"/>
    <x v="5"/>
  </r>
  <r>
    <s v="Chithra S M"/>
    <x v="2"/>
  </r>
  <r>
    <s v="Chowdanna Gari Nagarjuna"/>
    <x v="1"/>
  </r>
  <r>
    <s v="Darshan G"/>
    <x v="1"/>
  </r>
  <r>
    <s v="Darshan J"/>
    <x v="1"/>
  </r>
  <r>
    <s v="Divakar R"/>
    <x v="5"/>
  </r>
  <r>
    <s v="Durgesh Gowda K"/>
    <x v="1"/>
  </r>
  <r>
    <s v="Geriga Janaki Ramudu"/>
    <x v="5"/>
  </r>
  <r>
    <s v="Govardhan S"/>
    <x v="5"/>
  </r>
  <r>
    <s v="Immanuel kirubai das"/>
    <x v="5"/>
  </r>
  <r>
    <s v="K Mohammed Awan"/>
    <x v="1"/>
  </r>
  <r>
    <s v="K S Punith Kumar"/>
    <x v="5"/>
  </r>
  <r>
    <s v="Kandurparthi Chinnappa Gari Ashok Reddy"/>
    <x v="1"/>
  </r>
  <r>
    <s v="Kanti Nikhil Kumar"/>
    <x v="2"/>
  </r>
  <r>
    <s v="Kirankumar K V"/>
    <x v="5"/>
  </r>
  <r>
    <s v="Kotekal Mohammed Jayeed"/>
    <x v="5"/>
  </r>
  <r>
    <s v="Likith K"/>
    <x v="5"/>
  </r>
  <r>
    <s v="Mandara K"/>
    <x v="4"/>
  </r>
  <r>
    <s v="Manjunath Ghatage"/>
    <x v="5"/>
  </r>
  <r>
    <s v="Mithun B"/>
    <x v="5"/>
  </r>
  <r>
    <s v="Muniraju N"/>
    <x v="5"/>
  </r>
  <r>
    <s v="Narayan A Deshpande"/>
    <x v="5"/>
  </r>
  <r>
    <s v="Naveen K R S"/>
    <x v="5"/>
  </r>
  <r>
    <s v="Naveen Kumar K"/>
    <x v="5"/>
  </r>
  <r>
    <s v="Nihal N Suvarna"/>
    <x v="5"/>
  </r>
  <r>
    <s v="Nikki N"/>
    <x v="5"/>
  </r>
  <r>
    <s v="Poornima Naik"/>
    <x v="5"/>
  </r>
  <r>
    <s v="Poorvika S G"/>
    <x v="5"/>
  </r>
  <r>
    <s v="Pradeepa R"/>
    <x v="4"/>
  </r>
  <r>
    <s v="Pragathi C H"/>
    <x v="5"/>
  </r>
  <r>
    <s v="Prajwal D"/>
    <x v="5"/>
  </r>
  <r>
    <s v="Prathima Muttukuru"/>
    <x v="5"/>
  </r>
  <r>
    <s v="Pulapalli Bharath Kumar"/>
    <x v="5"/>
  </r>
  <r>
    <s v="R Rama Krishna"/>
    <x v="5"/>
  </r>
  <r>
    <s v="Rahul Rao S J"/>
    <x v="5"/>
  </r>
  <r>
    <s v="Rajath SK"/>
    <x v="5"/>
  </r>
  <r>
    <s v="Rakesh N"/>
    <x v="5"/>
  </r>
  <r>
    <s v="Ranjitha M"/>
    <x v="4"/>
  </r>
  <r>
    <s v="Sachin S"/>
    <x v="4"/>
  </r>
  <r>
    <s v="Sangeetha Parappa Shirasangi"/>
    <x v="4"/>
  </r>
  <r>
    <s v="Satish C"/>
    <x v="5"/>
  </r>
  <r>
    <s v="SHARATH K V"/>
    <x v="5"/>
  </r>
  <r>
    <s v="Shripada N"/>
    <x v="5"/>
  </r>
  <r>
    <s v="Siddartha S"/>
    <x v="4"/>
  </r>
  <r>
    <s v="Sowjanya H Y"/>
    <x v="5"/>
  </r>
  <r>
    <s v="Sumanjali Sarvepalle"/>
    <x v="5"/>
  </r>
  <r>
    <s v="Swetha Thirukondan Maheshwaran"/>
    <x v="5"/>
  </r>
  <r>
    <s v="Tejesh R Katwale"/>
    <x v="5"/>
  </r>
  <r>
    <s v="Thejas J"/>
    <x v="4"/>
  </r>
  <r>
    <s v="V Pavan Kumar"/>
    <x v="5"/>
  </r>
  <r>
    <s v="Vaishnavi C S"/>
    <x v="5"/>
  </r>
  <r>
    <s v="Vasanth Kumar G"/>
    <x v="4"/>
  </r>
  <r>
    <s v="Vedhashree R"/>
    <x v="5"/>
  </r>
  <r>
    <s v="Venkatesh V"/>
    <x v="5"/>
  </r>
  <r>
    <s v="Vinod A"/>
    <x v="5"/>
  </r>
  <r>
    <s v="Vishnu V"/>
    <x v="5"/>
  </r>
  <r>
    <s v="Vishwas Rao S"/>
    <x v="5"/>
  </r>
  <r>
    <s v="Darshan S N"/>
    <x v="5"/>
  </r>
  <r>
    <s v="Vineeth E S"/>
    <x v="5"/>
  </r>
  <r>
    <s v="Ashil Thomas"/>
    <x v="4"/>
  </r>
  <r>
    <s v="Dinesh S"/>
    <x v="5"/>
  </r>
  <r>
    <s v="Perumandla Suraj"/>
    <x v="4"/>
  </r>
  <r>
    <s v="Chitipiralla Nirusha"/>
    <x v="4"/>
  </r>
  <r>
    <s v="Thanushree V"/>
    <x v="5"/>
  </r>
  <r>
    <s v="Yaparla Pavan Kalyan Reddy"/>
    <x v="5"/>
  </r>
  <r>
    <s v="Shreeyas S"/>
    <x v="5"/>
  </r>
  <r>
    <s v="Anurag V P"/>
    <x v="5"/>
  </r>
  <r>
    <s v="M D Javeed"/>
    <x v="3"/>
  </r>
  <r>
    <s v="Mohamed Bilal Nazeer Ahamed"/>
    <x v="7"/>
  </r>
  <r>
    <s v="Sailesh V"/>
    <x v="5"/>
  </r>
  <r>
    <s v="Thejashri H"/>
    <x v="5"/>
  </r>
  <r>
    <s v="Punam Kumari"/>
    <x v="5"/>
  </r>
  <r>
    <s v="Tejaswini A"/>
    <x v="5"/>
  </r>
  <r>
    <s v="Chittajallu Thriveni"/>
    <x v="5"/>
  </r>
  <r>
    <s v="Sampath Anand"/>
    <x v="3"/>
  </r>
  <r>
    <s v="Shivanand Kallayyanamath"/>
    <x v="5"/>
  </r>
  <r>
    <s v="Gajalakshmi N"/>
    <x v="4"/>
  </r>
  <r>
    <s v="Shamshuddin S"/>
    <x v="3"/>
  </r>
  <r>
    <s v="Swaminathan MD"/>
    <x v="3"/>
  </r>
  <r>
    <s v="Renjit Ravindran Nair"/>
    <x v="3"/>
  </r>
  <r>
    <s v="Tejasai R"/>
    <x v="4"/>
  </r>
  <r>
    <s v="Anandu Viswanath"/>
    <x v="4"/>
  </r>
  <r>
    <s v="Shrinath Reddy N R"/>
    <x v="6"/>
  </r>
  <r>
    <s v="Koushik SV"/>
    <x v="6"/>
  </r>
  <r>
    <s v="Manjunath.BR"/>
    <x v="6"/>
  </r>
  <r>
    <s v="Arun Kumar NG"/>
    <x v="6"/>
  </r>
  <r>
    <s v="Anurag Kumar"/>
    <x v="8"/>
  </r>
  <r>
    <s v="Saritha G"/>
    <x v="6"/>
  </r>
  <r>
    <s v="Nithish PC"/>
    <x v="8"/>
  </r>
  <r>
    <s v="SHIVAKUMAR S"/>
    <x v="6"/>
  </r>
  <r>
    <s v="S Sandeep"/>
    <x v="6"/>
  </r>
  <r>
    <s v="Chaithra.SL"/>
    <x v="6"/>
  </r>
  <r>
    <s v="Bismi Juna"/>
    <x v="4"/>
  </r>
  <r>
    <s v="Shwetha M"/>
    <x v="6"/>
  </r>
  <r>
    <s v="Santanu Roy"/>
    <x v="6"/>
  </r>
  <r>
    <s v="Manish Singh"/>
    <x v="5"/>
  </r>
  <r>
    <s v="Gopal Singhal"/>
    <x v="6"/>
  </r>
  <r>
    <s v="Punith R"/>
    <x v="6"/>
  </r>
  <r>
    <s v="Chandana. R"/>
    <x v="8"/>
  </r>
  <r>
    <s v="Tejashree N"/>
    <x v="6"/>
  </r>
  <r>
    <s v="Doddam Praveen Kumar"/>
    <x v="6"/>
  </r>
  <r>
    <s v="Abhijith vr"/>
    <x v="4"/>
  </r>
  <r>
    <s v="Santhosh N"/>
    <x v="6"/>
  </r>
  <r>
    <s v="Sanjay Ishwar Naik"/>
    <x v="6"/>
  </r>
  <r>
    <s v="Saiamruta Revankar"/>
    <x v="5"/>
  </r>
  <r>
    <s v="Magaji Sridhar Anilkumar"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  <r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m/>
    <m/>
    <x v="0"/>
    <m/>
    <m/>
    <s v="Pre - Placement"/>
    <m/>
    <m/>
    <s v="Placement"/>
    <m/>
    <m/>
    <m/>
    <m/>
    <m/>
    <s v="Post - Placement"/>
    <m/>
    <m/>
    <s v="Claims"/>
    <m/>
    <m/>
    <m/>
    <s v="MIS"/>
    <s v="Auto"/>
    <s v="App / Sys Migration"/>
    <s v="Training / OJ Support"/>
    <s v="Proc Exc _x000a_(YB / GB / BB / MBB)"/>
    <s v="Onshore Trans _x000a_( remote)"/>
    <s v="EPIC"/>
    <s v="AMS 360"/>
    <s v="CSR24"/>
    <s v="IMAGERIGHT"/>
    <s v="Institutes"/>
  </r>
  <r>
    <m/>
    <m/>
    <x v="1"/>
    <s v="P&amp;C (yrs)"/>
    <s v="Geo Exp"/>
    <s v="Client Discovery"/>
    <s v="Renewal Planning"/>
    <s v="Subm Creation"/>
    <s v="Program Brokering"/>
    <s v="Quote Review"/>
    <s v="Quote presentation"/>
    <s v="Bind Auth &amp; Review​"/>
    <s v="Premium Financing"/>
    <s v="Inv"/>
    <s v="Evidence of Coverage"/>
    <s v="Pol Admin"/>
    <s v="Endmnt"/>
    <s v="Claims Mgmt &amp; Oversight"/>
    <s v="Claims Analytics"/>
    <s v="Claims  Creation Guide"/>
    <m/>
    <m/>
    <m/>
    <m/>
    <m/>
    <m/>
    <m/>
    <m/>
    <m/>
    <m/>
    <m/>
    <m/>
  </r>
  <r>
    <s v="Jayesh Shetty"/>
    <n v="7"/>
    <x v="2"/>
    <s v="5-7"/>
    <s v="USA;UK"/>
    <s v="18+ mnths"/>
    <s v="6 - 18 mnths"/>
    <m/>
    <m/>
    <m/>
    <m/>
    <m/>
    <m/>
    <m/>
    <s v="6 - 18 mnths"/>
    <m/>
    <s v="6 - 18 mnths"/>
    <s v="6 - 18 mnths"/>
    <m/>
    <m/>
    <m/>
    <m/>
    <m/>
    <m/>
    <s v="YES"/>
    <m/>
    <m/>
    <m/>
    <m/>
    <m/>
    <m/>
    <m/>
  </r>
  <r>
    <s v="Santosh Chauhan"/>
    <n v="7"/>
    <x v="3"/>
    <s v="8-10"/>
    <s v="USA"/>
    <m/>
    <s v="18+ mnths"/>
    <m/>
    <m/>
    <m/>
    <m/>
    <m/>
    <m/>
    <s v="18+ mnths"/>
    <s v="18+ mnths"/>
    <s v="18+ mnths"/>
    <m/>
    <m/>
    <m/>
    <m/>
    <m/>
    <m/>
    <m/>
    <s v="YES"/>
    <m/>
    <m/>
    <m/>
    <s v="YES"/>
    <m/>
    <m/>
    <m/>
    <m/>
  </r>
  <r>
    <s v="Vikram Anand"/>
    <n v="7"/>
    <x v="3"/>
    <s v="7-8"/>
    <s v="USA;UK"/>
    <m/>
    <s v="6 - 18 mnths"/>
    <m/>
    <m/>
    <m/>
    <m/>
    <m/>
    <m/>
    <m/>
    <m/>
    <m/>
    <m/>
    <m/>
    <m/>
    <m/>
    <s v="YES"/>
    <m/>
    <m/>
    <s v="YES"/>
    <s v="YES"/>
    <m/>
    <s v="YES"/>
    <m/>
    <m/>
    <m/>
    <m/>
    <m/>
  </r>
  <r>
    <s v="Harish Anand"/>
    <n v="8"/>
    <x v="4"/>
    <s v="3-5"/>
    <s v="UK"/>
    <m/>
    <m/>
    <m/>
    <m/>
    <m/>
    <m/>
    <m/>
    <m/>
    <m/>
    <m/>
    <m/>
    <m/>
    <s v="18+ mnths"/>
    <m/>
    <m/>
    <m/>
    <m/>
    <m/>
    <m/>
    <m/>
    <m/>
    <m/>
    <m/>
    <m/>
    <m/>
    <m/>
    <m/>
  </r>
  <r>
    <s v="Pradeep Kumar L"/>
    <n v="8"/>
    <x v="4"/>
    <s v="1.5 - 3"/>
    <s v="AUS"/>
    <m/>
    <m/>
    <m/>
    <m/>
    <m/>
    <m/>
    <m/>
    <m/>
    <m/>
    <m/>
    <m/>
    <m/>
    <m/>
    <s v="6 - 18 mnths"/>
    <m/>
    <m/>
    <m/>
    <m/>
    <m/>
    <m/>
    <m/>
    <m/>
    <m/>
    <m/>
    <m/>
    <m/>
    <m/>
  </r>
  <r>
    <s v="Shelina Jena"/>
    <n v="7"/>
    <x v="5"/>
    <s v="0.5 - 1.5"/>
    <s v="USA"/>
    <m/>
    <m/>
    <m/>
    <m/>
    <m/>
    <m/>
    <m/>
    <m/>
    <m/>
    <m/>
    <m/>
    <m/>
    <m/>
    <m/>
    <s v="18+ mnths"/>
    <s v="YES"/>
    <m/>
    <m/>
    <m/>
    <m/>
    <m/>
    <m/>
    <m/>
    <m/>
    <m/>
    <m/>
    <m/>
  </r>
  <r>
    <s v="Veeranagaraj Hiremath"/>
    <n v="7"/>
    <x v="5"/>
    <s v="3-5"/>
    <s v="USA;Canada;"/>
    <m/>
    <s v="18+ mnths"/>
    <m/>
    <m/>
    <s v="18+ mnths"/>
    <s v="18+ mnths"/>
    <m/>
    <m/>
    <s v="18+ mnths"/>
    <m/>
    <s v="18+ mnths"/>
    <m/>
    <m/>
    <m/>
    <m/>
    <s v="YES"/>
    <m/>
    <m/>
    <m/>
    <s v="YES"/>
    <m/>
    <m/>
    <m/>
    <m/>
    <m/>
    <m/>
    <m/>
  </r>
  <r>
    <s v="Amrutha Arali"/>
    <n v="7"/>
    <x v="5"/>
    <s v="3-5"/>
    <s v="USA"/>
    <m/>
    <s v="18+ mnths"/>
    <m/>
    <m/>
    <m/>
    <m/>
    <m/>
    <m/>
    <m/>
    <m/>
    <m/>
    <s v="18+ mnths"/>
    <m/>
    <m/>
    <m/>
    <m/>
    <m/>
    <m/>
    <m/>
    <m/>
    <m/>
    <m/>
    <s v="YES"/>
    <m/>
    <s v="YES"/>
    <m/>
    <m/>
  </r>
  <r>
    <s v="M Dhanashekar"/>
    <n v="8"/>
    <x v="4"/>
    <s v="0.5 - 1.5"/>
    <s v="USA"/>
    <m/>
    <s v="6 - 18 mnths"/>
    <m/>
    <m/>
    <m/>
    <m/>
    <m/>
    <m/>
    <m/>
    <m/>
    <m/>
    <m/>
    <s v="18+ mnths"/>
    <m/>
    <m/>
    <s v="YES"/>
    <m/>
    <m/>
    <m/>
    <m/>
    <m/>
    <m/>
    <m/>
    <m/>
    <m/>
    <m/>
    <m/>
  </r>
  <r>
    <s v="Apoorva H A"/>
    <n v="8"/>
    <x v="4"/>
    <s v="3-5"/>
    <s v="USA"/>
    <m/>
    <s v="18+ mnths"/>
    <m/>
    <m/>
    <m/>
    <m/>
    <m/>
    <m/>
    <s v="6 - 18 mnths"/>
    <m/>
    <m/>
    <m/>
    <m/>
    <m/>
    <m/>
    <s v="YES"/>
    <s v="YES"/>
    <m/>
    <m/>
    <s v="YES"/>
    <s v="YES"/>
    <s v="YES"/>
    <s v="YES"/>
    <m/>
    <m/>
    <m/>
    <m/>
  </r>
  <r>
    <s v="Naresh Moguram"/>
    <n v="7"/>
    <x v="3"/>
    <s v="7-8"/>
    <s v="USA"/>
    <m/>
    <s v="18+ mnths"/>
    <m/>
    <m/>
    <m/>
    <m/>
    <m/>
    <m/>
    <m/>
    <m/>
    <m/>
    <s v="18+ mnths"/>
    <m/>
    <m/>
    <m/>
    <s v="YES"/>
    <m/>
    <m/>
    <m/>
    <s v="YES"/>
    <m/>
    <m/>
    <m/>
    <m/>
    <m/>
    <m/>
    <m/>
  </r>
  <r>
    <s v="Vikram Prakash Bhat"/>
    <n v="8"/>
    <x v="6"/>
    <s v="7-8"/>
    <s v="USA"/>
    <m/>
    <s v="18+ mnths"/>
    <m/>
    <m/>
    <m/>
    <m/>
    <m/>
    <m/>
    <m/>
    <m/>
    <m/>
    <m/>
    <m/>
    <m/>
    <m/>
    <s v="YES"/>
    <s v="YES"/>
    <m/>
    <m/>
    <s v="YES"/>
    <m/>
    <m/>
    <s v="YES"/>
    <m/>
    <m/>
    <s v="YES"/>
    <m/>
  </r>
  <r>
    <s v="Nidhi Kumari "/>
    <n v="8"/>
    <x v="5"/>
    <s v="5-7"/>
    <s v="UK"/>
    <m/>
    <s v="18+ mnths"/>
    <m/>
    <m/>
    <m/>
    <m/>
    <m/>
    <m/>
    <s v="18+ mnths"/>
    <m/>
    <s v="18+ mnths"/>
    <m/>
    <m/>
    <m/>
    <m/>
    <m/>
    <m/>
    <m/>
    <m/>
    <s v="YES"/>
    <m/>
    <m/>
    <m/>
    <m/>
    <m/>
    <m/>
    <m/>
  </r>
  <r>
    <s v="Prince Peter"/>
    <n v="7"/>
    <x v="3"/>
    <s v="7-8"/>
    <s v="UK &amp; AUS"/>
    <m/>
    <s v="18+ mnths"/>
    <m/>
    <m/>
    <m/>
    <m/>
    <m/>
    <m/>
    <m/>
    <m/>
    <m/>
    <s v="18+ mnths"/>
    <m/>
    <m/>
    <m/>
    <m/>
    <m/>
    <m/>
    <m/>
    <s v="YES"/>
    <m/>
    <m/>
    <m/>
    <m/>
    <m/>
    <m/>
    <m/>
  </r>
  <r>
    <s v="Joyline Viola Rebello"/>
    <n v="8"/>
    <x v="4"/>
    <s v="3-5"/>
    <s v="APAC &amp; UK"/>
    <m/>
    <s v="18+ mnths"/>
    <m/>
    <m/>
    <m/>
    <m/>
    <m/>
    <m/>
    <m/>
    <m/>
    <m/>
    <m/>
    <m/>
    <s v="18+ mnths"/>
    <m/>
    <s v="YES"/>
    <m/>
    <m/>
    <m/>
    <s v="YES"/>
    <m/>
    <m/>
    <m/>
    <m/>
    <m/>
    <m/>
    <m/>
  </r>
  <r>
    <s v="Abishek V"/>
    <n v="8"/>
    <x v="6"/>
    <s v="3-5"/>
    <s v="USA"/>
    <m/>
    <s v="18+ mnths"/>
    <m/>
    <m/>
    <m/>
    <m/>
    <m/>
    <m/>
    <m/>
    <s v="18+ mnths"/>
    <m/>
    <m/>
    <s v="6 - 18 mnths"/>
    <m/>
    <m/>
    <s v="YES"/>
    <m/>
    <m/>
    <m/>
    <s v="YES"/>
    <m/>
    <m/>
    <m/>
    <m/>
    <m/>
    <m/>
    <m/>
  </r>
  <r>
    <s v="Lakshmipathy Chalicheemala "/>
    <n v="8"/>
    <x v="7"/>
    <s v="0.5 - 1.5"/>
    <s v="USA"/>
    <m/>
    <m/>
    <m/>
    <m/>
    <m/>
    <s v="6 - 18 mnths"/>
    <m/>
    <m/>
    <m/>
    <m/>
    <m/>
    <s v="6 - 18 mnths"/>
    <m/>
    <m/>
    <m/>
    <s v="YES"/>
    <m/>
    <m/>
    <m/>
    <s v="YES"/>
    <m/>
    <m/>
    <m/>
    <m/>
    <m/>
    <s v="YES"/>
    <m/>
  </r>
  <r>
    <s v="Geetanjali G"/>
    <n v="8"/>
    <x v="5"/>
    <s v="5-7"/>
    <s v="UK"/>
    <m/>
    <s v="18+ mnths"/>
    <m/>
    <m/>
    <m/>
    <m/>
    <m/>
    <m/>
    <s v="18+ mnths"/>
    <m/>
    <s v="18+ mnths"/>
    <m/>
    <m/>
    <m/>
    <m/>
    <m/>
    <s v="YES"/>
    <m/>
    <m/>
    <s v="YES"/>
    <s v="YES"/>
    <m/>
    <m/>
    <m/>
    <m/>
    <m/>
    <m/>
  </r>
  <r>
    <s v="Pooja S"/>
    <n v="8"/>
    <x v="5"/>
    <s v="3-5"/>
    <s v="USA"/>
    <m/>
    <s v="18+ mnths"/>
    <m/>
    <m/>
    <m/>
    <m/>
    <m/>
    <m/>
    <m/>
    <m/>
    <m/>
    <s v="18+ mnths"/>
    <m/>
    <m/>
    <m/>
    <m/>
    <m/>
    <m/>
    <m/>
    <s v="YES"/>
    <m/>
    <m/>
    <m/>
    <s v="YES"/>
    <m/>
    <s v="YES"/>
    <m/>
  </r>
  <r>
    <s v="Mohan V Kumar "/>
    <n v="8"/>
    <x v="4"/>
    <s v="3-5"/>
    <s v="USA"/>
    <m/>
    <m/>
    <m/>
    <m/>
    <m/>
    <m/>
    <m/>
    <m/>
    <m/>
    <s v="18+ mnths"/>
    <m/>
    <m/>
    <m/>
    <m/>
    <m/>
    <s v="YES"/>
    <m/>
    <m/>
    <m/>
    <s v="YES"/>
    <m/>
    <m/>
    <s v="YES"/>
    <m/>
    <s v="YES"/>
    <s v="YES"/>
    <m/>
  </r>
  <r>
    <s v="Natri Aakash"/>
    <n v="8"/>
    <x v="4"/>
    <s v="3-5"/>
    <s v="USA"/>
    <m/>
    <s v="18+ mnths"/>
    <s v="18+ mnths"/>
    <m/>
    <s v="18+ mnths"/>
    <m/>
    <s v="18+ mnths"/>
    <m/>
    <m/>
    <m/>
    <m/>
    <m/>
    <s v="18+ mnths"/>
    <m/>
    <m/>
    <m/>
    <s v="YES"/>
    <s v="YES"/>
    <m/>
    <s v="YES"/>
    <m/>
    <m/>
    <m/>
    <m/>
    <m/>
    <m/>
    <m/>
  </r>
  <r>
    <s v="Suma P"/>
    <n v="8"/>
    <x v="4"/>
    <s v="3-5"/>
    <s v="USA"/>
    <m/>
    <s v="18+ mnths"/>
    <s v="6 - 18 mnths"/>
    <m/>
    <m/>
    <m/>
    <m/>
    <m/>
    <m/>
    <m/>
    <s v="6 - 18 mnths"/>
    <m/>
    <m/>
    <m/>
    <m/>
    <s v="YES"/>
    <m/>
    <m/>
    <m/>
    <s v="YES"/>
    <m/>
    <m/>
    <s v="YES"/>
    <s v="YES"/>
    <m/>
    <s v="YES"/>
    <m/>
  </r>
  <r>
    <s v="Thirumala Reddy S"/>
    <n v="8"/>
    <x v="4"/>
    <s v="3-5"/>
    <s v="USA"/>
    <m/>
    <m/>
    <m/>
    <m/>
    <m/>
    <m/>
    <m/>
    <m/>
    <m/>
    <s v="18+ mnths"/>
    <m/>
    <m/>
    <m/>
    <m/>
    <m/>
    <m/>
    <m/>
    <m/>
    <m/>
    <m/>
    <m/>
    <m/>
    <s v="YES"/>
    <m/>
    <s v="YES"/>
    <m/>
    <m/>
  </r>
  <r>
    <s v="Zaiba Sulthana "/>
    <n v="8"/>
    <x v="4"/>
    <s v="1.5 - 3"/>
    <s v="USA"/>
    <m/>
    <s v="18+ mnths"/>
    <m/>
    <m/>
    <m/>
    <m/>
    <m/>
    <m/>
    <m/>
    <m/>
    <m/>
    <m/>
    <m/>
    <m/>
    <m/>
    <m/>
    <m/>
    <m/>
    <m/>
    <s v="YES"/>
    <m/>
    <m/>
    <s v="YES"/>
    <m/>
    <m/>
    <m/>
    <m/>
  </r>
  <r>
    <s v="Chetankumar Honakeri "/>
    <n v="7"/>
    <x v="3"/>
    <s v="7-8"/>
    <s v="USA"/>
    <m/>
    <m/>
    <m/>
    <m/>
    <m/>
    <m/>
    <m/>
    <m/>
    <m/>
    <s v="18+ mnths"/>
    <m/>
    <m/>
    <m/>
    <m/>
    <m/>
    <s v="YES"/>
    <m/>
    <m/>
    <m/>
    <s v="YES"/>
    <m/>
    <m/>
    <s v="YES"/>
    <s v="YES"/>
    <s v="YES"/>
    <s v="YES"/>
    <m/>
  </r>
  <r>
    <s v="Sanjeev Krishna V"/>
    <n v="8"/>
    <x v="4"/>
    <s v="3-5"/>
    <s v="USA"/>
    <m/>
    <s v="18+ mnths"/>
    <m/>
    <m/>
    <s v="18+ mnths"/>
    <s v="18+ mnths"/>
    <s v="18+ mnths"/>
    <m/>
    <s v="6 - 18 mnths"/>
    <m/>
    <m/>
    <s v="6 - 18 mnths"/>
    <s v="18+ mnths"/>
    <m/>
    <m/>
    <m/>
    <m/>
    <m/>
    <m/>
    <s v="YES"/>
    <m/>
    <m/>
    <m/>
    <m/>
    <m/>
    <s v="YES"/>
    <m/>
  </r>
  <r>
    <s v="Binu K Bose"/>
    <n v="7"/>
    <x v="3"/>
    <s v="10+"/>
    <s v="USA"/>
    <m/>
    <s v="18+ mnths"/>
    <s v="18+ mnths"/>
    <m/>
    <s v="18+ mnths"/>
    <m/>
    <s v="18+ mnths"/>
    <m/>
    <s v="18+ mnths"/>
    <s v="18+ mnths"/>
    <s v="18+ mnths"/>
    <s v="18+ mnths"/>
    <m/>
    <m/>
    <m/>
    <m/>
    <m/>
    <m/>
    <m/>
    <m/>
    <m/>
    <m/>
    <s v="YES"/>
    <m/>
    <s v="YES"/>
    <s v="YES"/>
    <m/>
  </r>
  <r>
    <s v="Rohith R"/>
    <n v="8"/>
    <x v="4"/>
    <s v="1.5 - 3"/>
    <s v="USA"/>
    <m/>
    <s v="6 - 18 mnths"/>
    <m/>
    <m/>
    <m/>
    <m/>
    <m/>
    <m/>
    <s v="6 - 18 mnths"/>
    <m/>
    <m/>
    <m/>
    <m/>
    <m/>
    <m/>
    <s v="YES"/>
    <m/>
    <m/>
    <m/>
    <s v="YES"/>
    <m/>
    <m/>
    <m/>
    <m/>
    <m/>
    <m/>
    <m/>
  </r>
  <r>
    <s v="Sajith C P"/>
    <n v="8"/>
    <x v="7"/>
    <s v="0.5 - 1.5"/>
    <s v="USA"/>
    <m/>
    <s v="18+ mnths"/>
    <m/>
    <m/>
    <m/>
    <m/>
    <m/>
    <m/>
    <m/>
    <m/>
    <m/>
    <m/>
    <m/>
    <m/>
    <m/>
    <m/>
    <m/>
    <m/>
    <m/>
    <m/>
    <m/>
    <m/>
    <s v="YES"/>
    <m/>
    <m/>
    <m/>
    <m/>
  </r>
  <r>
    <s v="Sachin AK"/>
    <n v="8"/>
    <x v="7"/>
    <s v="1.5 - 3"/>
    <s v="USA"/>
    <m/>
    <s v="18+ mnths"/>
    <m/>
    <m/>
    <m/>
    <s v="6 - 18 mnths"/>
    <m/>
    <m/>
    <m/>
    <m/>
    <m/>
    <m/>
    <m/>
    <m/>
    <m/>
    <s v="YES"/>
    <m/>
    <m/>
    <m/>
    <s v="YES"/>
    <m/>
    <m/>
    <s v="YES"/>
    <m/>
    <m/>
    <s v="YES"/>
    <m/>
  </r>
  <r>
    <s v="Santhosh HS"/>
    <n v="8"/>
    <x v="3"/>
    <s v="5-7"/>
    <s v="USA"/>
    <m/>
    <s v="18+ mnths"/>
    <m/>
    <m/>
    <m/>
    <m/>
    <m/>
    <m/>
    <s v="18+ mnths"/>
    <m/>
    <m/>
    <s v="18+ mnths"/>
    <m/>
    <m/>
    <m/>
    <s v="YES"/>
    <m/>
    <m/>
    <m/>
    <s v="YES"/>
    <m/>
    <m/>
    <m/>
    <m/>
    <m/>
    <s v="YES"/>
    <m/>
  </r>
  <r>
    <s v="Meagan Lewis"/>
    <n v="8"/>
    <x v="6"/>
    <s v="1.5 - 3"/>
    <s v="USA;UK"/>
    <m/>
    <s v="18+ mnths"/>
    <m/>
    <m/>
    <m/>
    <m/>
    <m/>
    <m/>
    <m/>
    <m/>
    <m/>
    <m/>
    <m/>
    <m/>
    <m/>
    <m/>
    <m/>
    <m/>
    <m/>
    <s v="YES"/>
    <m/>
    <m/>
    <s v="YES"/>
    <m/>
    <m/>
    <m/>
    <m/>
  </r>
  <r>
    <s v="Sandhya MS"/>
    <n v="8"/>
    <x v="6"/>
    <s v="7-8"/>
    <s v="USA"/>
    <m/>
    <s v="18+ mnths"/>
    <s v="18+ mnths"/>
    <m/>
    <s v="18+ mnths"/>
    <s v="18+ mnths"/>
    <s v="18+ mnths"/>
    <m/>
    <m/>
    <m/>
    <m/>
    <s v="18+ mnths"/>
    <m/>
    <m/>
    <m/>
    <s v="YES"/>
    <m/>
    <m/>
    <m/>
    <s v="YES"/>
    <m/>
    <m/>
    <s v="YES"/>
    <s v="YES"/>
    <m/>
    <s v="YES"/>
    <m/>
  </r>
  <r>
    <s v="Arun M U"/>
    <n v="7"/>
    <x v="5"/>
    <s v="3-5"/>
    <s v="USA"/>
    <m/>
    <s v="18+ mnths"/>
    <m/>
    <m/>
    <m/>
    <m/>
    <m/>
    <m/>
    <m/>
    <m/>
    <m/>
    <m/>
    <m/>
    <s v="18+ mnths"/>
    <m/>
    <m/>
    <m/>
    <m/>
    <m/>
    <s v="YES"/>
    <m/>
    <s v="YES"/>
    <m/>
    <m/>
    <m/>
    <m/>
    <m/>
  </r>
  <r>
    <s v="Chethan HS"/>
    <n v="8"/>
    <x v="4"/>
    <s v="3-5"/>
    <s v="USA"/>
    <m/>
    <s v="18+ mnths"/>
    <m/>
    <m/>
    <m/>
    <m/>
    <m/>
    <m/>
    <m/>
    <m/>
    <m/>
    <s v="18+ mnths"/>
    <s v="18+ mnths"/>
    <m/>
    <m/>
    <s v="YES"/>
    <s v="YES"/>
    <m/>
    <m/>
    <s v="YES"/>
    <m/>
    <s v="YES"/>
    <s v="YES"/>
    <s v="YES"/>
    <m/>
    <s v="YES"/>
    <m/>
  </r>
  <r>
    <s v="Harshitha K"/>
    <n v="8"/>
    <x v="4"/>
    <s v="0.5"/>
    <s v="UK"/>
    <m/>
    <s v="18+ mnths"/>
    <m/>
    <m/>
    <m/>
    <m/>
    <s v="18+ mnths"/>
    <m/>
    <s v="18+ mnths"/>
    <s v="18+ mnths"/>
    <m/>
    <m/>
    <s v="18+ mnths"/>
    <s v="18+ mnths"/>
    <s v="18+ mnths"/>
    <s v="YES"/>
    <m/>
    <m/>
    <m/>
    <s v="YES"/>
    <m/>
    <s v="YES"/>
    <m/>
    <m/>
    <m/>
    <m/>
    <m/>
  </r>
  <r>
    <s v="Kiran Doddagoudar"/>
    <n v="8"/>
    <x v="7"/>
    <s v="1.5 - 3"/>
    <s v="USA"/>
    <m/>
    <m/>
    <m/>
    <m/>
    <m/>
    <m/>
    <m/>
    <m/>
    <m/>
    <s v="18+ mnths"/>
    <m/>
    <s v="18+ mnths"/>
    <s v="18+ mnths"/>
    <m/>
    <m/>
    <m/>
    <m/>
    <m/>
    <m/>
    <m/>
    <m/>
    <m/>
    <s v="YES"/>
    <m/>
    <m/>
    <m/>
    <m/>
  </r>
  <r>
    <s v="Manasa BR"/>
    <n v="8"/>
    <x v="4"/>
    <s v="3-5"/>
    <s v="USA"/>
    <m/>
    <s v="18+ mnths"/>
    <s v="18+ mnths"/>
    <m/>
    <m/>
    <m/>
    <m/>
    <m/>
    <m/>
    <m/>
    <m/>
    <s v="18+ mnths"/>
    <m/>
    <m/>
    <m/>
    <s v="YES"/>
    <m/>
    <m/>
    <m/>
    <s v="YES"/>
    <m/>
    <s v="YES"/>
    <s v="YES"/>
    <m/>
    <m/>
    <m/>
    <m/>
  </r>
  <r>
    <s v="Prakash M"/>
    <n v="7"/>
    <x v="5"/>
    <s v="5-7"/>
    <s v="UK &amp; AUS"/>
    <m/>
    <s v="18+ mnths"/>
    <s v="18+ mnths"/>
    <m/>
    <m/>
    <m/>
    <m/>
    <m/>
    <s v="18+ mnths"/>
    <s v="18+ mnths"/>
    <m/>
    <s v="18+ mnths"/>
    <m/>
    <m/>
    <m/>
    <s v="YES"/>
    <m/>
    <m/>
    <m/>
    <s v="YES"/>
    <m/>
    <s v="YES"/>
    <m/>
    <m/>
    <m/>
    <m/>
    <m/>
  </r>
  <r>
    <s v="Ramya R C"/>
    <n v="8"/>
    <x v="5"/>
    <s v="1.5 - 3"/>
    <s v="USA"/>
    <m/>
    <s v="18+ mnths"/>
    <s v="18+ mnths"/>
    <m/>
    <m/>
    <m/>
    <m/>
    <m/>
    <m/>
    <m/>
    <m/>
    <s v="18+ mnths"/>
    <m/>
    <m/>
    <m/>
    <m/>
    <m/>
    <m/>
    <m/>
    <s v="YES"/>
    <m/>
    <s v="YES"/>
    <s v="YES"/>
    <m/>
    <m/>
    <s v="YES"/>
    <m/>
  </r>
  <r>
    <s v="Ranjitha R"/>
    <n v="7"/>
    <x v="3"/>
    <s v="0.5"/>
    <s v="USA;UK"/>
    <m/>
    <s v="18+ mnths"/>
    <m/>
    <m/>
    <m/>
    <m/>
    <m/>
    <m/>
    <s v="18+ mnths"/>
    <m/>
    <m/>
    <m/>
    <m/>
    <m/>
    <m/>
    <m/>
    <m/>
    <m/>
    <m/>
    <m/>
    <m/>
    <m/>
    <m/>
    <m/>
    <m/>
    <m/>
    <m/>
  </r>
  <r>
    <s v="Rehana S"/>
    <n v="7"/>
    <x v="3"/>
    <s v="1.5 - 3"/>
    <s v="UK"/>
    <m/>
    <s v="18+ mnths"/>
    <s v="6 - 18 mnths"/>
    <m/>
    <m/>
    <m/>
    <m/>
    <m/>
    <m/>
    <m/>
    <m/>
    <m/>
    <m/>
    <m/>
    <m/>
    <s v="YES"/>
    <m/>
    <m/>
    <m/>
    <m/>
    <m/>
    <s v="YES"/>
    <s v="YES"/>
    <s v="YES"/>
    <m/>
    <s v="YES"/>
    <m/>
  </r>
  <r>
    <s v="Sangeetha AN"/>
    <n v="8"/>
    <x v="7"/>
    <s v="1.5 - 3"/>
    <s v="USA"/>
    <m/>
    <m/>
    <m/>
    <m/>
    <m/>
    <m/>
    <m/>
    <m/>
    <m/>
    <m/>
    <s v="18+ mnths"/>
    <s v="18+ mnths"/>
    <m/>
    <m/>
    <m/>
    <m/>
    <m/>
    <m/>
    <s v="YES"/>
    <s v="YES"/>
    <m/>
    <s v="YES"/>
    <m/>
    <m/>
    <m/>
    <s v="YES"/>
    <m/>
  </r>
  <r>
    <s v="Vidyadhar Hiremath"/>
    <n v="8"/>
    <x v="4"/>
    <s v="3-5"/>
    <s v="USA"/>
    <s v="6 - 18 mnths"/>
    <s v="18+ mnths"/>
    <m/>
    <m/>
    <s v="6 - 18 mnths"/>
    <s v="6 - 18 mnths"/>
    <m/>
    <m/>
    <m/>
    <m/>
    <s v="18+ mnths"/>
    <s v="18+ mnths"/>
    <m/>
    <s v="6 - 18 mnths"/>
    <m/>
    <s v="YES"/>
    <m/>
    <s v="YES"/>
    <m/>
    <s v="YES"/>
    <m/>
    <s v="YES"/>
    <s v="YES"/>
    <m/>
    <s v="YES"/>
    <s v="YES"/>
    <m/>
  </r>
  <r>
    <s v="Ranjit Kumar Peddinti"/>
    <n v="6"/>
    <x v="3"/>
    <s v="5-7"/>
    <s v="UK &amp; AU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YES"/>
    <s v="YES"/>
    <s v="YES"/>
    <s v="YES"/>
    <s v="YES"/>
    <s v="YES"/>
    <s v="YES"/>
    <s v="YES"/>
    <s v="YES"/>
    <m/>
    <s v="YES"/>
    <m/>
  </r>
  <r>
    <s v="Gaurav Sharma"/>
    <n v="6"/>
    <x v="3"/>
    <s v="10+"/>
    <s v="USA / UK / AUS / CAN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YES"/>
    <s v="YES"/>
    <s v="YES"/>
    <s v="YES"/>
    <s v="YES"/>
    <s v="YES"/>
    <s v="YES"/>
    <s v="YES"/>
    <s v="YES"/>
    <s v="YES"/>
    <s v="YES"/>
    <s v="AINS/IIA"/>
  </r>
  <r>
    <s v="Spandana S"/>
    <n v="8.1999999999999993"/>
    <x v="4"/>
    <s v="0.5 - 1.5"/>
    <s v="USA;Canada;"/>
    <m/>
    <m/>
    <m/>
    <m/>
    <m/>
    <m/>
    <m/>
    <m/>
    <m/>
    <s v="18+ mnths"/>
    <m/>
    <m/>
    <m/>
    <m/>
    <m/>
    <m/>
    <m/>
    <m/>
    <m/>
    <s v="YES"/>
    <m/>
    <m/>
    <s v="YES"/>
    <m/>
    <s v="YES"/>
    <m/>
    <m/>
  </r>
  <r>
    <s v="A Naveen Reddy"/>
    <n v="7"/>
    <x v="7"/>
    <s v="1.5 - 3"/>
    <s v="USA"/>
    <m/>
    <s v="6 - 18 mnths"/>
    <s v="18+ mnths"/>
    <m/>
    <s v="6 - 18 mnths"/>
    <m/>
    <m/>
    <m/>
    <m/>
    <m/>
    <s v="6 - 18 mnths"/>
    <s v="18+ mnths"/>
    <m/>
    <m/>
    <m/>
    <s v="YES"/>
    <m/>
    <m/>
    <m/>
    <s v="YES"/>
    <m/>
    <m/>
    <m/>
    <m/>
    <m/>
    <m/>
    <m/>
  </r>
  <r>
    <s v="Abhishek S Malgondkar"/>
    <n v="7"/>
    <x v="4"/>
    <s v="1.5 - 3"/>
    <s v="USA"/>
    <m/>
    <s v="18+ mnths"/>
    <m/>
    <m/>
    <s v="18+ mnths"/>
    <m/>
    <m/>
    <m/>
    <m/>
    <s v="18+ mnths"/>
    <m/>
    <m/>
    <m/>
    <m/>
    <m/>
    <m/>
    <m/>
    <m/>
    <m/>
    <s v="YES"/>
    <m/>
    <m/>
    <s v="YES"/>
    <m/>
    <s v="YES"/>
    <m/>
    <m/>
  </r>
  <r>
    <s v="Aishwarya B N"/>
    <n v="8.1"/>
    <x v="8"/>
    <s v="0.5 - 1.5"/>
    <s v="USA"/>
    <m/>
    <m/>
    <s v="0-6 mnths"/>
    <m/>
    <s v="6 - 18 mnths"/>
    <m/>
    <s v="6 - 18 mnths"/>
    <s v="6 - 18 mnths"/>
    <m/>
    <s v="6 - 18 mnths"/>
    <s v="6 - 18 mnths"/>
    <m/>
    <s v="0-6 mnths"/>
    <m/>
    <m/>
    <m/>
    <s v="YES"/>
    <m/>
    <m/>
    <s v="YES"/>
    <m/>
    <m/>
    <s v="YES"/>
    <s v="YES"/>
    <m/>
    <m/>
    <m/>
  </r>
  <r>
    <s v="Akshatha B"/>
    <n v="7"/>
    <x v="7"/>
    <s v="1.5 - 3"/>
    <s v="USA"/>
    <s v="0-6 mnths"/>
    <s v="0-6 mnths"/>
    <m/>
    <m/>
    <s v="6 - 18 mnths"/>
    <s v="18+ mnths"/>
    <s v="18+ mnths"/>
    <m/>
    <m/>
    <m/>
    <s v="6 - 18 mnths"/>
    <s v="18+ mnths"/>
    <m/>
    <m/>
    <m/>
    <s v="YES"/>
    <m/>
    <m/>
    <m/>
    <s v="YES"/>
    <m/>
    <m/>
    <m/>
    <m/>
    <m/>
    <m/>
    <m/>
  </r>
  <r>
    <s v="Alvin N J"/>
    <n v="7"/>
    <x v="4"/>
    <s v="3-5"/>
    <s v="USA"/>
    <m/>
    <s v="0-6 mnths"/>
    <m/>
    <m/>
    <m/>
    <m/>
    <m/>
    <m/>
    <m/>
    <s v="18+ mnths"/>
    <m/>
    <s v="18+ mnths"/>
    <m/>
    <m/>
    <m/>
    <m/>
    <m/>
    <s v="YES"/>
    <m/>
    <s v="YES"/>
    <m/>
    <m/>
    <s v="YES"/>
    <m/>
    <s v="YES"/>
    <m/>
    <m/>
  </r>
  <r>
    <s v="Anchal Kumari Vinod Baranwal"/>
    <n v="8.1999999999999993"/>
    <x v="5"/>
    <s v="5-7"/>
    <s v="USA"/>
    <s v="18+ mnths"/>
    <m/>
    <m/>
    <m/>
    <m/>
    <s v="6 - 18 mnths"/>
    <m/>
    <m/>
    <s v="18+ mnths"/>
    <m/>
    <s v="18+ mnths"/>
    <m/>
    <s v="18+ mnths"/>
    <s v="18+ mnths"/>
    <s v="18+ mnths"/>
    <m/>
    <s v="YES"/>
    <s v="YES"/>
    <m/>
    <s v="YES"/>
    <m/>
    <m/>
    <m/>
    <m/>
    <m/>
    <m/>
    <m/>
  </r>
  <r>
    <s v="Ansari Mohamed Meeran"/>
    <n v="8"/>
    <x v="4"/>
    <s v="3-5"/>
    <s v="USA"/>
    <m/>
    <m/>
    <m/>
    <m/>
    <m/>
    <m/>
    <m/>
    <m/>
    <s v="18+ mnths"/>
    <s v="6 - 18 mnths"/>
    <m/>
    <m/>
    <m/>
    <m/>
    <m/>
    <m/>
    <m/>
    <m/>
    <m/>
    <s v="YES"/>
    <m/>
    <m/>
    <s v="YES"/>
    <m/>
    <s v="YES"/>
    <s v="YES"/>
    <m/>
  </r>
  <r>
    <s v="Ariesh Karthick S"/>
    <n v="8"/>
    <x v="4"/>
    <s v="3-5"/>
    <s v="USA"/>
    <m/>
    <m/>
    <s v="6 - 18 mnths"/>
    <m/>
    <m/>
    <m/>
    <m/>
    <m/>
    <m/>
    <m/>
    <m/>
    <s v="6 - 18 mnths"/>
    <m/>
    <m/>
    <m/>
    <m/>
    <m/>
    <m/>
    <m/>
    <s v="YES"/>
    <m/>
    <m/>
    <m/>
    <m/>
    <m/>
    <m/>
    <m/>
  </r>
  <r>
    <s v="Arjun O"/>
    <n v="8"/>
    <x v="4"/>
    <s v="0.5 - 1.5"/>
    <s v="USA"/>
    <m/>
    <s v="18+ mnths"/>
    <m/>
    <m/>
    <m/>
    <m/>
    <m/>
    <m/>
    <s v="0-6 mnths"/>
    <m/>
    <m/>
    <m/>
    <m/>
    <m/>
    <m/>
    <m/>
    <m/>
    <m/>
    <m/>
    <m/>
    <m/>
    <m/>
    <m/>
    <m/>
    <m/>
    <m/>
    <m/>
  </r>
  <r>
    <s v="Arun C"/>
    <n v="7.1"/>
    <x v="3"/>
    <s v="10+"/>
    <s v="USA"/>
    <m/>
    <s v="0-6 mnths"/>
    <m/>
    <m/>
    <m/>
    <m/>
    <m/>
    <m/>
    <m/>
    <s v="18+ mnths"/>
    <m/>
    <s v="18+ mnths"/>
    <m/>
    <m/>
    <m/>
    <m/>
    <m/>
    <s v="YES"/>
    <m/>
    <m/>
    <m/>
    <m/>
    <s v="YES"/>
    <s v="YES"/>
    <s v="YES"/>
    <m/>
    <m/>
  </r>
  <r>
    <s v="Ashish K Shyam"/>
    <n v="7"/>
    <x v="7"/>
    <s v="1.5 - 3"/>
    <s v="USA"/>
    <m/>
    <s v="6 - 18 mnths"/>
    <m/>
    <m/>
    <m/>
    <m/>
    <m/>
    <m/>
    <s v="0-6 mnths"/>
    <m/>
    <m/>
    <s v="6 - 18 mnths"/>
    <m/>
    <m/>
    <m/>
    <m/>
    <m/>
    <m/>
    <m/>
    <s v="YES"/>
    <m/>
    <m/>
    <s v="YES"/>
    <m/>
    <m/>
    <m/>
    <m/>
  </r>
  <r>
    <s v="Aswathi P K"/>
    <n v="8"/>
    <x v="4"/>
    <s v="3-5"/>
    <s v="USA"/>
    <m/>
    <m/>
    <m/>
    <m/>
    <s v="18+ mnths"/>
    <s v="18+ mnths"/>
    <m/>
    <s v="6 - 18 mnths"/>
    <s v="6 - 18 mnths"/>
    <m/>
    <m/>
    <s v="0-6 mnths"/>
    <m/>
    <m/>
    <m/>
    <m/>
    <m/>
    <m/>
    <m/>
    <s v="YES"/>
    <m/>
    <m/>
    <s v="YES"/>
    <m/>
    <m/>
    <m/>
    <m/>
  </r>
  <r>
    <s v="Bangi Afnan Malick"/>
    <n v="7"/>
    <x v="4"/>
    <s v="0.5 - 1.5"/>
    <s v="USA"/>
    <m/>
    <s v="6 - 18 mnths"/>
    <m/>
    <m/>
    <s v="6 - 18 mnths"/>
    <m/>
    <m/>
    <m/>
    <s v="0-6 mnths"/>
    <m/>
    <s v="6 - 18 mnths"/>
    <s v="18+ mnths"/>
    <m/>
    <m/>
    <m/>
    <s v="YES"/>
    <m/>
    <m/>
    <m/>
    <m/>
    <m/>
    <m/>
    <s v="YES"/>
    <m/>
    <m/>
    <s v="YES"/>
    <m/>
  </r>
  <r>
    <s v="BRUNDA N"/>
    <n v="8"/>
    <x v="4"/>
    <s v="3-5"/>
    <s v="USA"/>
    <m/>
    <s v="18+ mnths"/>
    <m/>
    <m/>
    <s v="18+ mnths"/>
    <m/>
    <m/>
    <m/>
    <m/>
    <s v="18+ mnths"/>
    <s v="18+ mnths"/>
    <s v="18+ mnths"/>
    <m/>
    <m/>
    <m/>
    <m/>
    <m/>
    <m/>
    <s v="YES"/>
    <s v="YES"/>
    <m/>
    <m/>
    <s v="YES"/>
    <m/>
    <s v="YES"/>
    <s v="YES"/>
    <m/>
  </r>
  <r>
    <s v="Chandrashekara T"/>
    <n v="8.1"/>
    <x v="7"/>
    <s v="1.5 - 3"/>
    <s v="USA"/>
    <m/>
    <s v="6 - 18 mnths"/>
    <s v="0-6 mnths"/>
    <m/>
    <m/>
    <m/>
    <m/>
    <m/>
    <s v="0-6 mnths"/>
    <m/>
    <m/>
    <s v="0-6 mnths"/>
    <m/>
    <m/>
    <m/>
    <m/>
    <s v="YES"/>
    <m/>
    <m/>
    <s v="YES"/>
    <m/>
    <m/>
    <s v="YES"/>
    <s v="YES"/>
    <s v="YES"/>
    <s v="YES"/>
    <m/>
  </r>
  <r>
    <s v="Chithra S M"/>
    <n v="8"/>
    <x v="7"/>
    <s v="1.5 - 3"/>
    <s v="USA"/>
    <m/>
    <s v="18+ mnths"/>
    <s v="6 - 18 mnths"/>
    <m/>
    <m/>
    <m/>
    <m/>
    <m/>
    <m/>
    <m/>
    <s v="0-6 mnths"/>
    <s v="6 - 18 mnths"/>
    <m/>
    <m/>
    <m/>
    <s v="YES"/>
    <m/>
    <m/>
    <m/>
    <s v="YES"/>
    <m/>
    <m/>
    <s v="YES"/>
    <s v="YES"/>
    <m/>
    <m/>
    <m/>
  </r>
  <r>
    <s v="Chowdanna Gari Nagarjuna"/>
    <n v="7"/>
    <x v="4"/>
    <s v="3-5"/>
    <s v="USA"/>
    <m/>
    <m/>
    <m/>
    <m/>
    <m/>
    <m/>
    <m/>
    <m/>
    <m/>
    <m/>
    <m/>
    <s v="18+ mnths"/>
    <m/>
    <m/>
    <m/>
    <m/>
    <m/>
    <m/>
    <m/>
    <s v="YES"/>
    <m/>
    <m/>
    <m/>
    <m/>
    <m/>
    <m/>
    <m/>
  </r>
  <r>
    <s v="Darshan G"/>
    <n v="7"/>
    <x v="7"/>
    <s v="1.5 - 3"/>
    <s v="USA"/>
    <m/>
    <s v="6 - 18 mnths"/>
    <s v="18+ mnths"/>
    <m/>
    <s v="6 - 18 mnths"/>
    <m/>
    <m/>
    <m/>
    <m/>
    <m/>
    <s v="6 - 18 mnths"/>
    <s v="18+ mnths"/>
    <m/>
    <m/>
    <m/>
    <s v="YES"/>
    <m/>
    <m/>
    <m/>
    <s v="YES"/>
    <m/>
    <m/>
    <m/>
    <m/>
    <m/>
    <m/>
    <m/>
  </r>
  <r>
    <s v="Darshan J"/>
    <n v="7"/>
    <x v="8"/>
    <s v="0.5 - 1.5"/>
    <s v="USA;Canada;"/>
    <s v="6 - 18 mnths"/>
    <m/>
    <m/>
    <m/>
    <m/>
    <m/>
    <m/>
    <m/>
    <s v="0-6 mnths"/>
    <m/>
    <s v="0-6 mnths"/>
    <s v="6 - 18 mnths"/>
    <s v="0-6 mnths"/>
    <m/>
    <m/>
    <m/>
    <m/>
    <m/>
    <m/>
    <m/>
    <m/>
    <m/>
    <s v="YES"/>
    <m/>
    <m/>
    <m/>
    <m/>
  </r>
  <r>
    <s v="Divakar R"/>
    <n v="8.1"/>
    <x v="7"/>
    <s v="1.5 - 3"/>
    <s v="Other;"/>
    <m/>
    <m/>
    <m/>
    <m/>
    <m/>
    <m/>
    <m/>
    <m/>
    <m/>
    <m/>
    <m/>
    <m/>
    <m/>
    <m/>
    <m/>
    <m/>
    <m/>
    <m/>
    <m/>
    <s v="YES"/>
    <m/>
    <m/>
    <s v="YES"/>
    <m/>
    <m/>
    <m/>
    <m/>
  </r>
  <r>
    <s v="Durgesh Gowda K"/>
    <n v="7"/>
    <x v="7"/>
    <s v="0.5 - 1.5"/>
    <s v="USA"/>
    <m/>
    <s v="18+ mnths"/>
    <m/>
    <m/>
    <m/>
    <m/>
    <m/>
    <m/>
    <m/>
    <s v="6 - 18 mnths"/>
    <m/>
    <s v="18+ mnths"/>
    <m/>
    <m/>
    <m/>
    <m/>
    <m/>
    <m/>
    <m/>
    <s v="YES"/>
    <m/>
    <m/>
    <s v="YES"/>
    <m/>
    <m/>
    <m/>
    <m/>
  </r>
  <r>
    <s v="Geriga Janaki Ramudu"/>
    <n v="8.1"/>
    <x v="4"/>
    <s v="3-5"/>
    <s v="USA"/>
    <m/>
    <s v="6 - 18 mnths"/>
    <s v="18+ mnths"/>
    <m/>
    <s v="6 - 18 mnths"/>
    <m/>
    <m/>
    <m/>
    <m/>
    <s v="6 - 18 mnths"/>
    <m/>
    <s v="6 - 18 mnths"/>
    <m/>
    <m/>
    <m/>
    <s v="YES"/>
    <s v="YES"/>
    <m/>
    <m/>
    <s v="YES"/>
    <m/>
    <m/>
    <s v="YES"/>
    <s v="YES"/>
    <m/>
    <m/>
    <m/>
  </r>
  <r>
    <s v="Govardhan S"/>
    <n v="8.1"/>
    <x v="7"/>
    <s v="1.5 - 3"/>
    <s v="USA"/>
    <s v="6 - 18 mnths"/>
    <s v="6 - 18 mnths"/>
    <m/>
    <m/>
    <m/>
    <m/>
    <m/>
    <s v="6 - 18 mnths"/>
    <m/>
    <m/>
    <s v="6 - 18 mnths"/>
    <s v="6 - 18 mnths"/>
    <m/>
    <m/>
    <m/>
    <m/>
    <m/>
    <m/>
    <m/>
    <s v="YES"/>
    <m/>
    <m/>
    <m/>
    <s v="YES"/>
    <m/>
    <m/>
    <m/>
  </r>
  <r>
    <s v="Immanuel kirubai das"/>
    <n v="8.1"/>
    <x v="3"/>
    <s v="10+"/>
    <s v="USA;Canada;"/>
    <m/>
    <s v="0-6 mnths"/>
    <m/>
    <m/>
    <s v="0-6 mnths"/>
    <m/>
    <m/>
    <m/>
    <m/>
    <s v="18+ mnths"/>
    <m/>
    <s v="0-6 mnths"/>
    <m/>
    <m/>
    <m/>
    <m/>
    <m/>
    <m/>
    <s v="YES"/>
    <s v="YES"/>
    <m/>
    <m/>
    <s v="YES"/>
    <m/>
    <m/>
    <m/>
    <m/>
  </r>
  <r>
    <s v="K Mohammed Awan"/>
    <n v="7"/>
    <x v="7"/>
    <s v="1.5 - 3"/>
    <s v="USA"/>
    <m/>
    <s v="6 - 18 mnths"/>
    <m/>
    <m/>
    <s v="6 - 18 mnths"/>
    <s v="6 - 18 mnths"/>
    <m/>
    <m/>
    <s v="18+ mnths"/>
    <m/>
    <m/>
    <m/>
    <m/>
    <m/>
    <m/>
    <s v="YES"/>
    <m/>
    <m/>
    <s v="YES"/>
    <s v="YES"/>
    <m/>
    <m/>
    <s v="YES"/>
    <s v="YES"/>
    <m/>
    <s v="YES"/>
    <m/>
  </r>
  <r>
    <s v="K S Punith Kumar"/>
    <n v="8.1"/>
    <x v="5"/>
    <s v="1.5 - 3"/>
    <s v="USA"/>
    <m/>
    <s v="6 - 18 mnths"/>
    <m/>
    <m/>
    <m/>
    <m/>
    <m/>
    <m/>
    <m/>
    <s v="18+ mnths"/>
    <m/>
    <m/>
    <m/>
    <m/>
    <m/>
    <m/>
    <m/>
    <m/>
    <m/>
    <m/>
    <m/>
    <m/>
    <s v="YES"/>
    <m/>
    <s v="YES"/>
    <m/>
    <m/>
  </r>
  <r>
    <s v="Kandurparthi Chinnappa Gari Ashok Reddy"/>
    <n v="7"/>
    <x v="7"/>
    <s v="1.5 - 3"/>
    <s v="USA"/>
    <m/>
    <m/>
    <m/>
    <m/>
    <m/>
    <m/>
    <m/>
    <m/>
    <m/>
    <s v="18+ mnths"/>
    <m/>
    <m/>
    <m/>
    <m/>
    <m/>
    <m/>
    <m/>
    <m/>
    <m/>
    <s v="YES"/>
    <m/>
    <m/>
    <s v="YES"/>
    <m/>
    <s v="YES"/>
    <m/>
    <m/>
  </r>
  <r>
    <s v="Kanti Nikhil Kumar"/>
    <n v="8"/>
    <x v="7"/>
    <s v="1.5 - 3"/>
    <s v="USA"/>
    <m/>
    <m/>
    <s v="6 - 18 mnths"/>
    <m/>
    <m/>
    <m/>
    <m/>
    <m/>
    <m/>
    <m/>
    <m/>
    <s v="18+ mnths"/>
    <m/>
    <m/>
    <m/>
    <m/>
    <m/>
    <m/>
    <m/>
    <s v="YES"/>
    <m/>
    <m/>
    <m/>
    <m/>
    <m/>
    <m/>
    <m/>
  </r>
  <r>
    <s v="Kirankumar K V"/>
    <n v="8.1"/>
    <x v="4"/>
    <s v="3-5"/>
    <s v="USA"/>
    <m/>
    <s v="6 - 18 mnths"/>
    <m/>
    <m/>
    <s v="18+ mnths"/>
    <m/>
    <m/>
    <m/>
    <m/>
    <m/>
    <m/>
    <s v="0-6 mnths"/>
    <m/>
    <m/>
    <m/>
    <m/>
    <m/>
    <m/>
    <m/>
    <s v="YES"/>
    <m/>
    <m/>
    <s v="YES"/>
    <m/>
    <m/>
    <m/>
    <m/>
  </r>
  <r>
    <s v="Kotekal Mohammed Jayeed"/>
    <n v="8.1"/>
    <x v="7"/>
    <s v="1.5 - 3"/>
    <s v="USA"/>
    <m/>
    <m/>
    <s v="6 - 18 mnths"/>
    <m/>
    <m/>
    <m/>
    <m/>
    <m/>
    <s v="0-6 mnths"/>
    <s v="18+ mnths"/>
    <m/>
    <m/>
    <m/>
    <m/>
    <m/>
    <m/>
    <m/>
    <m/>
    <m/>
    <s v="YES"/>
    <m/>
    <m/>
    <s v="YES"/>
    <s v="YES"/>
    <m/>
    <s v="YES"/>
    <m/>
  </r>
  <r>
    <s v="Likith K"/>
    <n v="8.1"/>
    <x v="7"/>
    <s v="1.5 - 3"/>
    <s v="Other;"/>
    <m/>
    <m/>
    <s v="6 - 18 mnths"/>
    <m/>
    <s v="18+ mnths"/>
    <s v="18+ mnths"/>
    <m/>
    <m/>
    <m/>
    <m/>
    <m/>
    <s v="18+ mnths"/>
    <m/>
    <m/>
    <m/>
    <s v="YES"/>
    <m/>
    <m/>
    <m/>
    <s v="YES"/>
    <m/>
    <m/>
    <s v="YES"/>
    <m/>
    <m/>
    <s v="YES"/>
    <m/>
  </r>
  <r>
    <s v="Mandara K"/>
    <n v="8.1999999999999993"/>
    <x v="4"/>
    <s v="3-5"/>
    <s v="USA"/>
    <m/>
    <m/>
    <m/>
    <m/>
    <m/>
    <m/>
    <m/>
    <m/>
    <m/>
    <s v="18+ mnths"/>
    <m/>
    <s v="6 - 18 mnths"/>
    <m/>
    <m/>
    <m/>
    <s v="YES"/>
    <s v="YES"/>
    <m/>
    <m/>
    <s v="YES"/>
    <m/>
    <m/>
    <s v="YES"/>
    <m/>
    <s v="YES"/>
    <m/>
    <m/>
  </r>
  <r>
    <s v="Manjunath Ghatage"/>
    <n v="8.1"/>
    <x v="7"/>
    <s v="1.5 - 3"/>
    <s v="USA"/>
    <s v="0-6 mnths"/>
    <m/>
    <m/>
    <m/>
    <s v="0-6 mnths"/>
    <m/>
    <s v="0-6 mnths"/>
    <m/>
    <m/>
    <m/>
    <m/>
    <m/>
    <m/>
    <m/>
    <m/>
    <s v="YES"/>
    <m/>
    <m/>
    <m/>
    <m/>
    <m/>
    <m/>
    <s v="YES"/>
    <s v="YES"/>
    <m/>
    <s v="YES"/>
    <m/>
  </r>
  <r>
    <s v="Mithun B"/>
    <n v="8.1"/>
    <x v="4"/>
    <s v="1.5 - 3"/>
    <s v="USA;Canada;"/>
    <m/>
    <m/>
    <m/>
    <m/>
    <m/>
    <m/>
    <m/>
    <m/>
    <s v="6 - 18 mnths"/>
    <m/>
    <m/>
    <m/>
    <m/>
    <m/>
    <m/>
    <m/>
    <s v="YES"/>
    <s v="YES"/>
    <m/>
    <s v="YES"/>
    <m/>
    <m/>
    <m/>
    <m/>
    <m/>
    <s v="YES"/>
    <m/>
  </r>
  <r>
    <s v="Muniraju N"/>
    <n v="8.1"/>
    <x v="4"/>
    <s v="3-5"/>
    <s v="USA;UK"/>
    <s v="0-6 mnths"/>
    <s v="18+ mnths"/>
    <s v="6 - 18 mnths"/>
    <s v="6 - 18 mnths"/>
    <s v="18+ mnths"/>
    <s v="18+ mnths"/>
    <s v="18+ mnths"/>
    <s v="18+ mnths"/>
    <s v="18+ mnths"/>
    <s v="18+ mnths"/>
    <s v="18+ mnths"/>
    <s v="18+ mnths"/>
    <s v="18+ mnths"/>
    <s v="18+ mnths"/>
    <s v="6 - 18 mnths"/>
    <s v="YES"/>
    <s v="YES"/>
    <s v="YES"/>
    <s v="YES"/>
    <s v="YES"/>
    <m/>
    <m/>
    <s v="YES"/>
    <m/>
    <m/>
    <m/>
    <m/>
  </r>
  <r>
    <s v="Narayan A Deshpande"/>
    <n v="8.1"/>
    <x v="4"/>
    <s v="3-5"/>
    <s v="USA"/>
    <m/>
    <s v="18+ mnths"/>
    <m/>
    <m/>
    <s v="18+ mnths"/>
    <s v="18+ mnths"/>
    <s v="18+ mnths"/>
    <s v="18+ mnths"/>
    <m/>
    <m/>
    <s v="18+ mnths"/>
    <m/>
    <m/>
    <m/>
    <m/>
    <m/>
    <s v="YES"/>
    <m/>
    <s v="YES"/>
    <s v="YES"/>
    <m/>
    <m/>
    <s v="YES"/>
    <s v="YES"/>
    <s v="YES"/>
    <s v="YES"/>
    <m/>
  </r>
  <r>
    <s v="Naveen K R S"/>
    <n v="8.1"/>
    <x v="4"/>
    <s v="1.5 - 3"/>
    <s v="USA"/>
    <s v="0-6 mnths"/>
    <s v="0-6 mnths"/>
    <m/>
    <m/>
    <s v="0-6 mnths"/>
    <s v="0-6 mnths"/>
    <s v="0-6 mnths"/>
    <m/>
    <m/>
    <s v="6 - 18 mnths"/>
    <s v="6 - 18 mnths"/>
    <s v="0-6 mnths"/>
    <m/>
    <m/>
    <m/>
    <m/>
    <m/>
    <m/>
    <s v="YES"/>
    <s v="YES"/>
    <m/>
    <m/>
    <s v="YES"/>
    <s v="YES"/>
    <m/>
    <s v="YES"/>
    <m/>
  </r>
  <r>
    <s v="Naveen Kumar K"/>
    <n v="8.1"/>
    <x v="7"/>
    <s v="1.5 - 3"/>
    <s v="USA"/>
    <m/>
    <s v="0-6 mnths"/>
    <m/>
    <m/>
    <m/>
    <m/>
    <m/>
    <m/>
    <m/>
    <s v="6 - 18 mnths"/>
    <m/>
    <m/>
    <m/>
    <m/>
    <m/>
    <m/>
    <s v="YES"/>
    <m/>
    <m/>
    <s v="YES"/>
    <m/>
    <m/>
    <s v="YES"/>
    <s v="YES"/>
    <s v="YES"/>
    <s v="YES"/>
    <m/>
  </r>
  <r>
    <s v="Nihal N Suvarna"/>
    <n v="8.1"/>
    <x v="4"/>
    <s v="3-5"/>
    <s v="USA"/>
    <s v="6 - 18 mnths"/>
    <s v="18+ mnths"/>
    <s v="0-6 mnths"/>
    <m/>
    <s v="18+ mnths"/>
    <s v="0-6 mnths"/>
    <m/>
    <s v="18+ mnths"/>
    <s v="18+ mnths"/>
    <s v="18+ mnths"/>
    <s v="0-6 mnths"/>
    <s v="18+ mnths"/>
    <s v="0-6 mnths"/>
    <s v="0-6 mnths"/>
    <m/>
    <s v="YES"/>
    <m/>
    <m/>
    <m/>
    <s v="YES"/>
    <m/>
    <m/>
    <s v="YES"/>
    <m/>
    <m/>
    <m/>
    <m/>
  </r>
  <r>
    <s v="Nikki N"/>
    <n v="8.1"/>
    <x v="7"/>
    <s v="1.5 - 3"/>
    <s v="USA"/>
    <s v="6 - 18 mnths"/>
    <s v="0-6 mnths"/>
    <s v="0-6 mnths"/>
    <m/>
    <m/>
    <m/>
    <m/>
    <s v="0-6 mnths"/>
    <s v="6 - 18 mnths"/>
    <s v="0-6 mnths"/>
    <s v="0-6 mnths"/>
    <m/>
    <m/>
    <m/>
    <m/>
    <m/>
    <s v="YES"/>
    <m/>
    <m/>
    <s v="YES"/>
    <m/>
    <m/>
    <s v="YES"/>
    <m/>
    <m/>
    <m/>
    <m/>
  </r>
  <r>
    <s v="Poornima Naik"/>
    <n v="8.1"/>
    <x v="7"/>
    <s v="1.5 - 3"/>
    <s v="USA"/>
    <s v="0-6 mnths"/>
    <s v="6 - 18 mnths"/>
    <s v="0-6 mnths"/>
    <m/>
    <m/>
    <m/>
    <s v="0-6 mnths"/>
    <s v="0-6 mnths"/>
    <m/>
    <s v="6 - 18 mnths"/>
    <s v="6 - 18 mnths"/>
    <s v="6 - 18 mnths"/>
    <s v="0-6 mnths"/>
    <s v="0-6 mnths"/>
    <s v="0-6 mnths"/>
    <s v="YES"/>
    <s v="YES"/>
    <m/>
    <m/>
    <s v="YES"/>
    <m/>
    <m/>
    <s v="YES"/>
    <s v="YES"/>
    <s v="YES"/>
    <s v="YES"/>
    <m/>
  </r>
  <r>
    <s v="Poorvika S G"/>
    <n v="8.1"/>
    <x v="4"/>
    <s v="1.5 - 3"/>
    <s v="USA"/>
    <s v="6 - 18 mnths"/>
    <s v="0-6 mnths"/>
    <s v="0-6 mnths"/>
    <m/>
    <m/>
    <m/>
    <m/>
    <s v="0-6 mnths"/>
    <s v="6 - 18 mnths"/>
    <s v="0-6 mnths"/>
    <s v="0-6 mnths"/>
    <m/>
    <m/>
    <m/>
    <m/>
    <m/>
    <s v="YES"/>
    <m/>
    <m/>
    <s v="YES"/>
    <m/>
    <m/>
    <s v="YES"/>
    <s v="YES"/>
    <m/>
    <s v="YES"/>
    <m/>
  </r>
  <r>
    <s v="Pradeepa R"/>
    <n v="8.1999999999999993"/>
    <x v="5"/>
    <s v="5-7"/>
    <s v="USA"/>
    <s v="18+ mnths"/>
    <s v="18+ mnths"/>
    <m/>
    <m/>
    <s v="18+ mnths"/>
    <m/>
    <m/>
    <m/>
    <m/>
    <s v="18+ mnths"/>
    <s v="18+ mnths"/>
    <s v="18+ mnths"/>
    <m/>
    <m/>
    <m/>
    <m/>
    <s v="YES"/>
    <s v="YES"/>
    <s v="YES"/>
    <s v="YES"/>
    <s v="Yellow Belt;"/>
    <m/>
    <s v="YES"/>
    <s v="YES"/>
    <s v="YES"/>
    <m/>
    <m/>
  </r>
  <r>
    <s v="Pragathi C H"/>
    <n v="8.1"/>
    <x v="4"/>
    <s v="1.5 - 3"/>
    <s v="USA"/>
    <s v="6 - 18 mnths"/>
    <s v="0-6 mnths"/>
    <m/>
    <s v="0-6 mnths"/>
    <s v="0-6 mnths"/>
    <s v="6 - 18 mnths"/>
    <s v="0-6 mnths"/>
    <s v="18+ mnths"/>
    <s v="6 - 18 mnths"/>
    <s v="0-6 mnths"/>
    <m/>
    <s v="0-6 mnths"/>
    <s v="0-6 mnths"/>
    <m/>
    <m/>
    <s v="YES"/>
    <m/>
    <m/>
    <m/>
    <s v="YES"/>
    <s v="Yellow Belt;"/>
    <m/>
    <s v="YES"/>
    <m/>
    <m/>
    <m/>
    <m/>
  </r>
  <r>
    <s v="Prajwal D"/>
    <n v="8.1"/>
    <x v="7"/>
    <s v="1.5 - 3"/>
    <s v="USA"/>
    <s v="18+ mnths"/>
    <m/>
    <m/>
    <m/>
    <m/>
    <m/>
    <m/>
    <s v="0-6 mnths"/>
    <m/>
    <m/>
    <s v="18+ mnths"/>
    <s v="18+ mnths"/>
    <m/>
    <m/>
    <m/>
    <s v="YES"/>
    <s v="YES"/>
    <m/>
    <m/>
    <s v="YES"/>
    <m/>
    <m/>
    <s v="YES"/>
    <s v="YES"/>
    <m/>
    <m/>
    <m/>
  </r>
  <r>
    <s v="Prathima Muttukuru"/>
    <n v="8.1"/>
    <x v="7"/>
    <s v="1.5 - 3"/>
    <s v="APAC;"/>
    <m/>
    <m/>
    <m/>
    <m/>
    <m/>
    <m/>
    <m/>
    <s v="0-6 mnths"/>
    <s v="18+ mnths"/>
    <m/>
    <s v="0-6 mnths"/>
    <s v="0-6 mnths"/>
    <s v="6 - 18 mnths"/>
    <s v="6 - 18 mnths"/>
    <m/>
    <s v="YES"/>
    <s v="YES"/>
    <m/>
    <m/>
    <m/>
    <m/>
    <m/>
    <m/>
    <m/>
    <m/>
    <m/>
    <m/>
  </r>
  <r>
    <s v="Pulapalli Bharath Kumar"/>
    <n v="8.1"/>
    <x v="8"/>
    <s v="0.5 - 1.5"/>
    <s v="USA"/>
    <m/>
    <s v="6 - 18 mnths"/>
    <s v="6 - 18 mnths"/>
    <m/>
    <m/>
    <m/>
    <m/>
    <m/>
    <m/>
    <m/>
    <m/>
    <m/>
    <m/>
    <m/>
    <m/>
    <m/>
    <s v="YES"/>
    <m/>
    <m/>
    <s v="YES"/>
    <m/>
    <m/>
    <m/>
    <m/>
    <m/>
    <m/>
    <m/>
  </r>
  <r>
    <s v="R Rama Krishna"/>
    <n v="8.1"/>
    <x v="7"/>
    <s v="1.5 - 3"/>
    <s v="USA"/>
    <s v="0-6 mnths"/>
    <s v="0-6 mnths"/>
    <m/>
    <m/>
    <m/>
    <m/>
    <m/>
    <m/>
    <m/>
    <s v="0-6 mnths"/>
    <m/>
    <s v="0-6 mnths"/>
    <m/>
    <m/>
    <m/>
    <m/>
    <s v="YES"/>
    <m/>
    <s v="YES"/>
    <s v="YES"/>
    <m/>
    <m/>
    <s v="YES"/>
    <s v="YES"/>
    <s v="YES"/>
    <s v="YES"/>
    <m/>
  </r>
  <r>
    <s v="Rahul Rao S J"/>
    <n v="8.1"/>
    <x v="7"/>
    <s v="0.5 - 1.5"/>
    <s v="USA"/>
    <m/>
    <m/>
    <m/>
    <m/>
    <m/>
    <s v="0-6 mnths"/>
    <m/>
    <m/>
    <m/>
    <m/>
    <m/>
    <s v="0-6 mnths"/>
    <m/>
    <m/>
    <m/>
    <m/>
    <s v="YES"/>
    <m/>
    <m/>
    <s v="YES"/>
    <m/>
    <m/>
    <s v="YES"/>
    <m/>
    <m/>
    <m/>
    <m/>
  </r>
  <r>
    <s v="Rajath SK"/>
    <n v="8.1"/>
    <x v="4"/>
    <s v="1.5 - 3"/>
    <s v="USA"/>
    <m/>
    <m/>
    <m/>
    <m/>
    <m/>
    <m/>
    <m/>
    <m/>
    <m/>
    <m/>
    <m/>
    <m/>
    <m/>
    <m/>
    <m/>
    <m/>
    <s v="YES"/>
    <s v="YES"/>
    <m/>
    <m/>
    <m/>
    <m/>
    <s v="YES"/>
    <m/>
    <m/>
    <m/>
    <m/>
  </r>
  <r>
    <s v="Rakesh N"/>
    <n v="8.1"/>
    <x v="7"/>
    <s v="1.5 - 3"/>
    <s v="USA"/>
    <m/>
    <m/>
    <s v="0-6 mnths"/>
    <m/>
    <s v="6 - 18 mnths"/>
    <m/>
    <s v="0-6 mnths"/>
    <s v="6 - 18 mnths"/>
    <s v="18+ mnths"/>
    <m/>
    <s v="0-6 mnths"/>
    <s v="0-6 mnths"/>
    <m/>
    <m/>
    <m/>
    <m/>
    <m/>
    <s v="YES"/>
    <s v="YES"/>
    <s v="YES"/>
    <m/>
    <m/>
    <s v="YES"/>
    <m/>
    <m/>
    <m/>
    <m/>
  </r>
  <r>
    <s v="Ranjitha M"/>
    <n v="8.1999999999999993"/>
    <x v="4"/>
    <s v="3-5"/>
    <s v="USA"/>
    <m/>
    <s v="18+ mnths"/>
    <s v="18+ mnths"/>
    <m/>
    <s v="18+ mnths"/>
    <m/>
    <m/>
    <m/>
    <m/>
    <m/>
    <s v="0-6 mnths"/>
    <s v="18+ mnths"/>
    <s v="18+ mnths"/>
    <s v="18+ mnths"/>
    <s v="18+ mnths"/>
    <m/>
    <s v="YES"/>
    <m/>
    <m/>
    <s v="YES"/>
    <m/>
    <m/>
    <s v="YES"/>
    <s v="YES"/>
    <s v="YES"/>
    <s v="YES"/>
    <m/>
  </r>
  <r>
    <s v="Sachin S"/>
    <n v="8.1999999999999993"/>
    <x v="5"/>
    <s v="5-7"/>
    <s v="USA"/>
    <s v="18+ mnths"/>
    <s v="18+ mnths"/>
    <m/>
    <m/>
    <s v="18+ mnths"/>
    <m/>
    <m/>
    <m/>
    <m/>
    <s v="18+ mnths"/>
    <s v="18+ mnths"/>
    <s v="18+ mnths"/>
    <m/>
    <m/>
    <m/>
    <m/>
    <s v="YES"/>
    <s v="YES"/>
    <s v="YES"/>
    <s v="YES"/>
    <s v="Yellow Belt;"/>
    <m/>
    <s v="YES"/>
    <s v="YES"/>
    <s v="YES"/>
    <m/>
    <m/>
  </r>
  <r>
    <s v="Sangeetha Parappa Shirasangi"/>
    <n v="8.1999999999999993"/>
    <x v="7"/>
    <s v="1.5 - 3"/>
    <s v="USA"/>
    <m/>
    <s v="6 - 18 mnths"/>
    <s v="18+ mnths"/>
    <m/>
    <m/>
    <m/>
    <m/>
    <m/>
    <m/>
    <m/>
    <m/>
    <m/>
    <m/>
    <m/>
    <m/>
    <m/>
    <s v="YES"/>
    <m/>
    <m/>
    <m/>
    <m/>
    <m/>
    <s v="YES"/>
    <m/>
    <m/>
    <m/>
    <m/>
  </r>
  <r>
    <s v="Satish C"/>
    <n v="8.1"/>
    <x v="4"/>
    <s v="3-5"/>
    <s v="USA"/>
    <m/>
    <s v="6 - 18 mnths"/>
    <m/>
    <m/>
    <m/>
    <m/>
    <m/>
    <m/>
    <m/>
    <s v="18+ mnths"/>
    <m/>
    <s v="6 - 18 mnths"/>
    <m/>
    <m/>
    <m/>
    <m/>
    <m/>
    <s v="YES"/>
    <m/>
    <m/>
    <m/>
    <m/>
    <s v="YES"/>
    <m/>
    <s v="YES"/>
    <m/>
    <m/>
  </r>
  <r>
    <s v="SHARATH K V"/>
    <n v="8.1"/>
    <x v="7"/>
    <s v="0.5 - 1.5"/>
    <s v="USA"/>
    <s v="6 - 18 mnths"/>
    <m/>
    <s v="18+ mnths"/>
    <m/>
    <m/>
    <m/>
    <s v="0-6 mnths"/>
    <m/>
    <m/>
    <s v="0-6 mnths"/>
    <s v="0-6 mnths"/>
    <m/>
    <m/>
    <m/>
    <m/>
    <m/>
    <s v="YES"/>
    <m/>
    <s v="YES"/>
    <s v="YES"/>
    <m/>
    <m/>
    <m/>
    <m/>
    <m/>
    <m/>
    <m/>
  </r>
  <r>
    <s v="Shripada N"/>
    <n v="8.1"/>
    <x v="7"/>
    <s v="1.5 - 3"/>
    <s v="USA"/>
    <m/>
    <s v="18+ mnths"/>
    <m/>
    <m/>
    <s v="18+ mnths"/>
    <m/>
    <m/>
    <m/>
    <m/>
    <s v="18+ mnths"/>
    <m/>
    <s v="18+ mnths"/>
    <m/>
    <m/>
    <m/>
    <m/>
    <m/>
    <m/>
    <m/>
    <s v="YES"/>
    <m/>
    <m/>
    <s v="YES"/>
    <m/>
    <m/>
    <m/>
    <m/>
  </r>
  <r>
    <s v="Siddartha S"/>
    <n v="8.1999999999999993"/>
    <x v="6"/>
    <s v="3-5"/>
    <s v="USA"/>
    <m/>
    <m/>
    <m/>
    <m/>
    <m/>
    <m/>
    <m/>
    <m/>
    <m/>
    <s v="18+ mnths"/>
    <m/>
    <s v="18+ mnths"/>
    <m/>
    <m/>
    <m/>
    <m/>
    <m/>
    <s v="YES"/>
    <m/>
    <s v="YES"/>
    <m/>
    <m/>
    <s v="YES"/>
    <m/>
    <s v="YES"/>
    <m/>
    <m/>
  </r>
  <r>
    <s v="Sowjanya H Y"/>
    <n v="8.1"/>
    <x v="7"/>
    <s v="1.5 - 3"/>
    <s v="USA"/>
    <m/>
    <s v="18+ mnths"/>
    <m/>
    <m/>
    <m/>
    <m/>
    <m/>
    <m/>
    <m/>
    <s v="18+ mnths"/>
    <s v="18+ mnths"/>
    <m/>
    <m/>
    <m/>
    <m/>
    <m/>
    <s v="YES"/>
    <m/>
    <s v="YES"/>
    <s v="YES"/>
    <m/>
    <m/>
    <s v="YES"/>
    <s v="YES"/>
    <m/>
    <m/>
    <m/>
  </r>
  <r>
    <s v="Sumanjali Sarvepalle"/>
    <n v="8.1"/>
    <x v="7"/>
    <s v="1.5 - 3"/>
    <s v="USA"/>
    <m/>
    <m/>
    <s v="18+ mnths"/>
    <m/>
    <m/>
    <m/>
    <m/>
    <m/>
    <m/>
    <m/>
    <m/>
    <m/>
    <m/>
    <m/>
    <m/>
    <m/>
    <s v="YES"/>
    <m/>
    <m/>
    <s v="YES"/>
    <m/>
    <m/>
    <m/>
    <m/>
    <m/>
    <m/>
    <m/>
  </r>
  <r>
    <s v="Swetha Thirukondan Maheshwaran"/>
    <n v="8.1"/>
    <x v="4"/>
    <s v="3-5"/>
    <s v="USA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YES"/>
    <m/>
    <m/>
    <m/>
    <s v="YES"/>
    <m/>
    <m/>
    <m/>
    <m/>
    <m/>
    <s v="YES"/>
    <m/>
  </r>
  <r>
    <s v="Tejesh R Katwale"/>
    <n v="8.1"/>
    <x v="7"/>
    <s v="1.5 - 3"/>
    <s v="USA"/>
    <s v="0-6 mnths"/>
    <s v="18+ mnths"/>
    <m/>
    <m/>
    <s v="0-6 mnths"/>
    <m/>
    <m/>
    <m/>
    <s v="18+ mnths"/>
    <m/>
    <m/>
    <m/>
    <m/>
    <m/>
    <m/>
    <m/>
    <s v="YES"/>
    <m/>
    <m/>
    <s v="YES"/>
    <m/>
    <m/>
    <m/>
    <m/>
    <m/>
    <s v="YES"/>
    <m/>
  </r>
  <r>
    <s v="Thejas J"/>
    <n v="8.1999999999999993"/>
    <x v="4"/>
    <s v="3-5"/>
    <s v="USA"/>
    <s v="18+ mnths"/>
    <s v="18+ mnths"/>
    <m/>
    <m/>
    <m/>
    <m/>
    <m/>
    <m/>
    <m/>
    <m/>
    <s v="18+ mnths"/>
    <s v="18+ mnths"/>
    <s v="18+ mnths"/>
    <s v="18+ mnths"/>
    <s v="18+ mnths"/>
    <s v="YES"/>
    <s v="YES"/>
    <s v="YES"/>
    <m/>
    <s v="YES"/>
    <m/>
    <m/>
    <s v="YES"/>
    <m/>
    <m/>
    <s v="YES"/>
    <m/>
  </r>
  <r>
    <s v="V Pavan Kumar"/>
    <n v="8.1"/>
    <x v="7"/>
    <s v="1.5 - 3"/>
    <s v="USA"/>
    <m/>
    <s v="6 - 18 mnths"/>
    <m/>
    <m/>
    <m/>
    <m/>
    <m/>
    <m/>
    <m/>
    <m/>
    <m/>
    <s v="6 - 18 mnths"/>
    <m/>
    <m/>
    <m/>
    <m/>
    <m/>
    <m/>
    <m/>
    <s v="YES"/>
    <m/>
    <m/>
    <s v="YES"/>
    <m/>
    <m/>
    <m/>
    <m/>
  </r>
  <r>
    <s v="Vaishnavi C S"/>
    <n v="8.1"/>
    <x v="7"/>
    <s v="1.5 - 3"/>
    <s v="USA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YES"/>
    <m/>
    <m/>
    <s v="YES"/>
    <s v="YES"/>
    <m/>
    <m/>
    <s v="YES"/>
    <m/>
    <s v="YES"/>
    <s v="YES"/>
    <m/>
  </r>
  <r>
    <s v="Vasanth Kumar G"/>
    <n v="8.1999999999999993"/>
    <x v="7"/>
    <s v="1.5 - 3"/>
    <s v="USA"/>
    <s v="6 - 18 mnths"/>
    <s v="6 - 18 mnths"/>
    <s v="6 - 18 mnths"/>
    <s v="0-6 mnths"/>
    <s v="6 - 18 mnths"/>
    <s v="6 - 18 mnths"/>
    <s v="6 - 18 mnths"/>
    <s v="0-6 mnths"/>
    <s v="6 - 18 mnths"/>
    <s v="0-6 mnths"/>
    <s v="0-6 mnths"/>
    <s v="6 - 18 mnths"/>
    <s v="6 - 18 mnths"/>
    <s v="6 - 18 mnths"/>
    <s v="6 - 18 mnths"/>
    <s v="YES"/>
    <s v="YES"/>
    <m/>
    <m/>
    <s v="YES"/>
    <m/>
    <m/>
    <s v="YES"/>
    <s v="YES"/>
    <m/>
    <s v="YES"/>
    <m/>
  </r>
  <r>
    <s v="Vedhashree R"/>
    <n v="8.1"/>
    <x v="7"/>
    <s v="0.5 - 1.5"/>
    <s v="USA;Canada;AUS;"/>
    <s v="0-6 mnths"/>
    <s v="0-6 mnths"/>
    <m/>
    <m/>
    <s v="0-6 mnths"/>
    <s v="0-6 mnths"/>
    <m/>
    <m/>
    <s v="6 - 18 mnths"/>
    <s v="6 - 18 mnths"/>
    <s v="6 - 18 mnths"/>
    <s v="0-6 mnths"/>
    <s v="0-6 mnths"/>
    <s v="0-6 mnths"/>
    <s v="0-6 mnths"/>
    <m/>
    <s v="YES"/>
    <s v="YES"/>
    <m/>
    <s v="YES"/>
    <m/>
    <m/>
    <s v="YES"/>
    <s v="YES"/>
    <s v="YES"/>
    <s v="YES"/>
    <m/>
  </r>
  <r>
    <s v="Venkatesh V"/>
    <n v="8.1"/>
    <x v="4"/>
    <s v="3-5"/>
    <s v="USA"/>
    <s v="18+ mnths"/>
    <s v="6 - 18 mnths"/>
    <m/>
    <m/>
    <s v="6 - 18 mnths"/>
    <s v="0-6 mnths"/>
    <m/>
    <m/>
    <m/>
    <s v="6 - 18 mnths"/>
    <s v="6 - 18 mnths"/>
    <s v="6 - 18 mnths"/>
    <s v="18+ mnths"/>
    <s v="18+ mnths"/>
    <s v="18+ mnths"/>
    <m/>
    <s v="YES"/>
    <s v="YES"/>
    <m/>
    <s v="YES"/>
    <m/>
    <m/>
    <s v="YES"/>
    <m/>
    <m/>
    <s v="YES"/>
    <m/>
  </r>
  <r>
    <s v="Vinod A"/>
    <n v="8.1"/>
    <x v="7"/>
    <s v="1.5 - 3"/>
    <s v="USA"/>
    <s v="18+ mnths"/>
    <s v="18+ mnths"/>
    <s v="18+ mnths"/>
    <s v="6 - 18 mnths"/>
    <s v="6 - 18 mnths"/>
    <s v="0-6 mnths"/>
    <m/>
    <s v="0-6 mnths"/>
    <m/>
    <m/>
    <s v="0-6 mnths"/>
    <s v="6 - 18 mnths"/>
    <m/>
    <m/>
    <m/>
    <s v="YES"/>
    <s v="YES"/>
    <s v="YES"/>
    <s v="YES"/>
    <s v="YES"/>
    <m/>
    <m/>
    <m/>
    <m/>
    <m/>
    <s v="YES"/>
    <m/>
  </r>
  <r>
    <s v="Vishnu V"/>
    <n v="8.1"/>
    <x v="4"/>
    <s v="3-5"/>
    <s v="USA"/>
    <s v="0-6 mnths"/>
    <s v="6 - 18 mnths"/>
    <s v="0-6 mnths"/>
    <s v="0-6 mnths"/>
    <s v="0-6 mnths"/>
    <m/>
    <m/>
    <s v="0-6 mnths"/>
    <m/>
    <s v="6 - 18 mnths"/>
    <s v="0-6 mnths"/>
    <m/>
    <m/>
    <m/>
    <s v="0-6 mnths"/>
    <m/>
    <m/>
    <m/>
    <m/>
    <s v="YES"/>
    <m/>
    <m/>
    <s v="YES"/>
    <s v="YES"/>
    <s v="YES"/>
    <s v="YES"/>
    <m/>
  </r>
  <r>
    <s v="Vishwas Rao S"/>
    <n v="8.1"/>
    <x v="7"/>
    <s v="1.5 - 3"/>
    <s v="USA"/>
    <m/>
    <s v="18+ mnths"/>
    <m/>
    <m/>
    <m/>
    <m/>
    <m/>
    <m/>
    <m/>
    <s v="18+ mnths"/>
    <s v="18+ mnths"/>
    <m/>
    <m/>
    <m/>
    <m/>
    <m/>
    <s v="YES"/>
    <m/>
    <m/>
    <m/>
    <m/>
    <m/>
    <s v="YES"/>
    <m/>
    <m/>
    <m/>
    <m/>
  </r>
  <r>
    <s v="Darshan S N"/>
    <n v="8.1"/>
    <x v="8"/>
    <s v="0.5 - 1.5"/>
    <s v="USA"/>
    <m/>
    <s v="6 - 18 mnths"/>
    <s v="6 - 18 mnths"/>
    <m/>
    <m/>
    <m/>
    <s v="6 - 18 mnths"/>
    <m/>
    <m/>
    <m/>
    <m/>
    <m/>
    <s v="6 - 18 mnths"/>
    <s v="6 - 18 mnths"/>
    <m/>
    <s v="YES"/>
    <m/>
    <m/>
    <m/>
    <s v="YES"/>
    <m/>
    <m/>
    <m/>
    <m/>
    <m/>
    <m/>
    <m/>
  </r>
  <r>
    <s v="Vineeth E S"/>
    <n v="8.1"/>
    <x v="7"/>
    <s v="1.5 - 3"/>
    <s v="USA"/>
    <s v="6 - 18 mnths"/>
    <m/>
    <m/>
    <m/>
    <m/>
    <m/>
    <m/>
    <m/>
    <m/>
    <m/>
    <m/>
    <m/>
    <m/>
    <m/>
    <m/>
    <m/>
    <m/>
    <m/>
    <m/>
    <s v="YES"/>
    <m/>
    <m/>
    <s v="YES"/>
    <s v="YES"/>
    <m/>
    <s v="YES"/>
    <m/>
  </r>
  <r>
    <s v="Ashil Thomas"/>
    <n v="8.1999999999999993"/>
    <x v="4"/>
    <s v="3-5"/>
    <s v="USA"/>
    <m/>
    <m/>
    <s v="18+ mnths"/>
    <m/>
    <m/>
    <m/>
    <m/>
    <m/>
    <m/>
    <m/>
    <m/>
    <m/>
    <m/>
    <m/>
    <m/>
    <s v="YES"/>
    <m/>
    <m/>
    <m/>
    <s v="YES"/>
    <m/>
    <m/>
    <s v="YES"/>
    <m/>
    <m/>
    <m/>
    <m/>
  </r>
  <r>
    <s v="Dinesh S"/>
    <n v="8.1"/>
    <x v="4"/>
    <s v="3-5"/>
    <s v="USA"/>
    <s v="0-6 mnths"/>
    <s v="18+ mnths"/>
    <m/>
    <m/>
    <m/>
    <m/>
    <m/>
    <m/>
    <s v="18+ mnths"/>
    <s v="18+ mnths"/>
    <s v="18+ mnths"/>
    <s v="18+ mnths"/>
    <m/>
    <s v="18+ mnths"/>
    <s v="6 - 18 mnths"/>
    <s v="YES"/>
    <s v="YES"/>
    <s v="YES"/>
    <m/>
    <s v="YES"/>
    <m/>
    <m/>
    <s v="YES"/>
    <m/>
    <m/>
    <m/>
    <m/>
  </r>
  <r>
    <s v="Perumandla Suraj"/>
    <n v="8.1999999999999993"/>
    <x v="4"/>
    <s v="3-5"/>
    <s v="USA"/>
    <m/>
    <m/>
    <m/>
    <m/>
    <m/>
    <m/>
    <m/>
    <m/>
    <m/>
    <s v="6 - 18 mnths"/>
    <m/>
    <s v="6 - 18 mnths"/>
    <m/>
    <m/>
    <m/>
    <m/>
    <m/>
    <m/>
    <m/>
    <s v="YES"/>
    <m/>
    <m/>
    <s v="YES"/>
    <s v="YES"/>
    <m/>
    <s v="YES"/>
    <m/>
  </r>
  <r>
    <s v="Chitipiralla Nirusha"/>
    <n v="8.1999999999999993"/>
    <x v="4"/>
    <s v="3-5"/>
    <s v="USA"/>
    <s v="18+ mnths"/>
    <s v="18+ mnths"/>
    <s v="6 - 18 mnths"/>
    <m/>
    <s v="6 - 18 mnths"/>
    <m/>
    <s v="6 - 18 mnths"/>
    <m/>
    <m/>
    <s v="0-6 mnths"/>
    <m/>
    <s v="0-6 mnths"/>
    <m/>
    <m/>
    <m/>
    <s v="YES"/>
    <m/>
    <m/>
    <m/>
    <s v="YES"/>
    <m/>
    <m/>
    <s v="YES"/>
    <s v="YES"/>
    <s v="YES"/>
    <m/>
    <m/>
  </r>
  <r>
    <s v="Thanushree V"/>
    <n v="8.1"/>
    <x v="7"/>
    <s v="1.5 - 3"/>
    <s v="USA;UK"/>
    <m/>
    <s v="6 - 18 mnths"/>
    <m/>
    <m/>
    <m/>
    <m/>
    <s v="6 - 18 mnths"/>
    <m/>
    <m/>
    <s v="18+ mnths"/>
    <m/>
    <s v="18+ mnths"/>
    <m/>
    <m/>
    <m/>
    <m/>
    <s v="YES"/>
    <m/>
    <m/>
    <s v="YES"/>
    <m/>
    <m/>
    <m/>
    <m/>
    <m/>
    <s v="YES"/>
    <m/>
  </r>
  <r>
    <s v="Yaparla Pavan Kalyan Reddy"/>
    <n v="8.1"/>
    <x v="7"/>
    <s v="1.5 - 3"/>
    <s v="USA"/>
    <s v="0-6 mnths"/>
    <m/>
    <m/>
    <m/>
    <s v="0-6 mnths"/>
    <m/>
    <s v="0-6 mnths"/>
    <m/>
    <s v="6 - 18 mnths"/>
    <m/>
    <s v="6 - 18 mnths"/>
    <s v="0-6 mnths"/>
    <m/>
    <m/>
    <m/>
    <s v="YES"/>
    <m/>
    <m/>
    <s v="YES"/>
    <s v="YES"/>
    <m/>
    <m/>
    <s v="YES"/>
    <m/>
    <s v="YES"/>
    <m/>
    <m/>
  </r>
  <r>
    <s v="Shreeyas S"/>
    <n v="8.1"/>
    <x v="7"/>
    <s v="1.5 - 3"/>
    <s v="USA"/>
    <s v="6 - 18 mnths"/>
    <s v="6 - 18 mnths"/>
    <m/>
    <m/>
    <s v="0-6 mnths"/>
    <m/>
    <m/>
    <m/>
    <m/>
    <s v="18+ mnths"/>
    <m/>
    <s v="18+ mnths"/>
    <m/>
    <m/>
    <m/>
    <m/>
    <m/>
    <m/>
    <s v="YES"/>
    <s v="YES"/>
    <s v="YES"/>
    <m/>
    <s v="YES"/>
    <s v="YES"/>
    <m/>
    <m/>
    <m/>
  </r>
  <r>
    <s v="Anurag V P"/>
    <n v="8.1"/>
    <x v="4"/>
    <s v="3-5"/>
    <s v="USA"/>
    <m/>
    <m/>
    <m/>
    <m/>
    <m/>
    <m/>
    <m/>
    <m/>
    <m/>
    <m/>
    <m/>
    <s v="18+ mnths"/>
    <m/>
    <m/>
    <m/>
    <m/>
    <m/>
    <m/>
    <m/>
    <m/>
    <m/>
    <m/>
    <m/>
    <m/>
    <m/>
    <m/>
    <m/>
  </r>
  <r>
    <s v="M D Javeed"/>
    <n v="6"/>
    <x v="3"/>
    <s v="8-10"/>
    <s v="USA;UK"/>
    <m/>
    <s v="18+ mnths"/>
    <s v="18+ mnths"/>
    <m/>
    <s v="18+ mnths"/>
    <s v="18+ mnths"/>
    <m/>
    <m/>
    <s v="18+ mnths"/>
    <m/>
    <s v="18+ mnths"/>
    <s v="18+ mnths"/>
    <m/>
    <m/>
    <m/>
    <m/>
    <m/>
    <m/>
    <m/>
    <s v="YES"/>
    <m/>
    <m/>
    <m/>
    <m/>
    <m/>
    <m/>
    <m/>
  </r>
  <r>
    <s v="Mohamed Bilal Nazeer Ahamed"/>
    <n v="5"/>
    <x v="3"/>
    <s v="8-10"/>
    <s v="USA;UK"/>
    <m/>
    <s v="18+ mnths"/>
    <m/>
    <m/>
    <m/>
    <m/>
    <m/>
    <m/>
    <m/>
    <s v="18+ mnths"/>
    <m/>
    <m/>
    <m/>
    <m/>
    <m/>
    <m/>
    <s v="YES"/>
    <s v="YES"/>
    <s v="YES"/>
    <s v="YES"/>
    <s v="YES"/>
    <s v="YES"/>
    <s v="YES"/>
    <m/>
    <m/>
    <m/>
    <s v="AINS 25"/>
  </r>
  <r>
    <s v="Sailesh V"/>
    <n v="8.1"/>
    <x v="7"/>
    <s v="1.5 - 3"/>
    <s v="USA"/>
    <s v="6 - 18 mnths"/>
    <m/>
    <m/>
    <m/>
    <m/>
    <m/>
    <m/>
    <m/>
    <s v="6 - 18 mnths"/>
    <m/>
    <m/>
    <s v="6 - 18 mnths"/>
    <s v="6 - 18 mnths"/>
    <m/>
    <m/>
    <m/>
    <m/>
    <m/>
    <m/>
    <s v="YES"/>
    <m/>
    <m/>
    <m/>
    <m/>
    <m/>
    <m/>
    <m/>
  </r>
  <r>
    <s v="Thejashri H"/>
    <n v="8.1"/>
    <x v="4"/>
    <s v="3-5"/>
    <s v="USA"/>
    <m/>
    <m/>
    <s v="6 - 18 mnths"/>
    <m/>
    <m/>
    <m/>
    <m/>
    <m/>
    <m/>
    <s v="6 - 18 mnths"/>
    <m/>
    <m/>
    <m/>
    <m/>
    <m/>
    <m/>
    <m/>
    <m/>
    <m/>
    <s v="YES"/>
    <m/>
    <m/>
    <s v="YES"/>
    <m/>
    <m/>
    <m/>
    <m/>
  </r>
  <r>
    <s v="Punam Kumari"/>
    <n v="8.1"/>
    <x v="7"/>
    <s v="1.5 - 3"/>
    <s v="USA"/>
    <s v="6 - 18 mnths"/>
    <s v="0-6 mnths"/>
    <s v="0-6 mnths"/>
    <m/>
    <s v="0-6 mnths"/>
    <m/>
    <s v="0-6 mnths"/>
    <m/>
    <m/>
    <m/>
    <m/>
    <m/>
    <m/>
    <m/>
    <m/>
    <m/>
    <m/>
    <m/>
    <m/>
    <s v="YES"/>
    <m/>
    <m/>
    <s v="YES"/>
    <m/>
    <m/>
    <m/>
    <m/>
  </r>
  <r>
    <s v="Tejaswini A"/>
    <n v="8.1"/>
    <x v="7"/>
    <s v="1.5 - 3"/>
    <s v="USA"/>
    <m/>
    <s v="6 - 18 mnths"/>
    <m/>
    <m/>
    <s v="6 - 18 mnths"/>
    <m/>
    <s v="0-6 mnths"/>
    <m/>
    <m/>
    <m/>
    <m/>
    <m/>
    <m/>
    <m/>
    <m/>
    <m/>
    <m/>
    <m/>
    <m/>
    <s v="YES"/>
    <m/>
    <m/>
    <s v="YES"/>
    <m/>
    <m/>
    <m/>
    <m/>
  </r>
  <r>
    <s v="Chittajallu Thriveni"/>
    <n v="8.1"/>
    <x v="7"/>
    <s v="1.5 - 3"/>
    <s v="USA"/>
    <s v="6 - 18 mnths"/>
    <s v="6 - 18 mnths"/>
    <s v="0-6 mnths"/>
    <m/>
    <s v="0-6 mnths"/>
    <m/>
    <s v="0-6 mnths"/>
    <s v="0-6 mnths"/>
    <s v="6 - 18 mnths"/>
    <s v="0-6 mnths"/>
    <s v="0-6 mnths"/>
    <s v="6 - 18 mnths"/>
    <m/>
    <m/>
    <m/>
    <m/>
    <s v="YES"/>
    <m/>
    <m/>
    <s v="YES"/>
    <m/>
    <m/>
    <s v="YES"/>
    <m/>
    <s v="YES"/>
    <m/>
    <m/>
  </r>
  <r>
    <s v="Sampath Anand"/>
    <n v="6"/>
    <x v="3"/>
    <s v="0.5 - 1.5"/>
    <s v="USA;UK"/>
    <s v="6 - 18 mnths"/>
    <s v="6 - 18 mnths"/>
    <s v="0-6 mnths"/>
    <m/>
    <s v="0-6 mnths"/>
    <s v="0-6 mnths"/>
    <s v="0-6 mnths"/>
    <m/>
    <m/>
    <m/>
    <m/>
    <s v="6 - 18 mnths"/>
    <s v="0-6 months"/>
    <s v="0-6 mnths"/>
    <m/>
    <s v="YES"/>
    <s v="YES"/>
    <m/>
    <s v="YES"/>
    <s v="YES"/>
    <m/>
    <s v="YES"/>
    <s v="YES"/>
    <m/>
    <m/>
    <m/>
    <m/>
  </r>
  <r>
    <s v="Shivanand Kallayyanamath"/>
    <n v="8.1"/>
    <x v="4"/>
    <s v="3-5"/>
    <s v="CAN"/>
    <m/>
    <s v="6 - 18 mnths"/>
    <m/>
    <m/>
    <s v="0-6 mnths"/>
    <m/>
    <m/>
    <m/>
    <m/>
    <m/>
    <m/>
    <m/>
    <m/>
    <m/>
    <m/>
    <m/>
    <m/>
    <m/>
    <m/>
    <s v="YES"/>
    <m/>
    <m/>
    <s v="YES"/>
    <m/>
    <s v="YES"/>
    <m/>
    <m/>
  </r>
  <r>
    <s v="Gajalakshmi N"/>
    <n v="8.1999999999999993"/>
    <x v="3"/>
    <s v="8-10"/>
    <s v="UK &amp; AUS"/>
    <s v="18+ mnths"/>
    <s v="6 - 18 mnths"/>
    <m/>
    <m/>
    <s v="6 - 18 mnths"/>
    <s v="6 - 18 mnths"/>
    <s v="6 - 18 mnths"/>
    <m/>
    <s v="6 - 18 mnths"/>
    <m/>
    <s v="18+ mnths"/>
    <s v="18+ mnths"/>
    <s v="18+ mnths"/>
    <s v="18+ mnths"/>
    <s v="18+ mnths"/>
    <s v="YES"/>
    <m/>
    <m/>
    <m/>
    <s v="YES"/>
    <m/>
    <m/>
    <m/>
    <m/>
    <m/>
    <m/>
    <m/>
  </r>
  <r>
    <s v="Shamshuddin S"/>
    <n v="6"/>
    <x v="3"/>
    <s v="10+"/>
    <s v="USA"/>
    <s v="6 - 18 mnths"/>
    <s v="18+ mnths"/>
    <s v="18+ mnths"/>
    <m/>
    <s v="18+ mnths"/>
    <m/>
    <s v="18+ mnths"/>
    <s v="0-6 mnths"/>
    <s v="18+ mnths"/>
    <s v="6 - 18 mnths"/>
    <s v="18+ mnths"/>
    <s v="18+ mnths"/>
    <m/>
    <s v="18+ mnths"/>
    <m/>
    <s v="YES"/>
    <s v="YES"/>
    <s v="YES"/>
    <s v="YES"/>
    <s v="YES"/>
    <m/>
    <s v="YES"/>
    <s v="YES"/>
    <m/>
    <s v="YES"/>
    <s v="YES"/>
    <m/>
  </r>
  <r>
    <s v="Swaminathan MD"/>
    <n v="6"/>
    <x v="3"/>
    <s v="10+"/>
    <s v="USA"/>
    <m/>
    <m/>
    <m/>
    <m/>
    <m/>
    <m/>
    <m/>
    <m/>
    <m/>
    <m/>
    <m/>
    <m/>
    <m/>
    <m/>
    <m/>
    <m/>
    <m/>
    <m/>
    <m/>
    <m/>
    <m/>
    <m/>
    <m/>
    <m/>
    <m/>
    <m/>
    <m/>
  </r>
  <r>
    <s v="Renjit Ravindran Nair"/>
    <n v="6"/>
    <x v="3"/>
    <s v="10+"/>
    <s v="USA"/>
    <m/>
    <m/>
    <m/>
    <m/>
    <s v="18+ mnths"/>
    <s v="18+ mnths"/>
    <s v="18+ mnths"/>
    <m/>
    <m/>
    <m/>
    <s v="18+ mnths"/>
    <s v="18+ mnths"/>
    <m/>
    <s v="6 - 18 mnths"/>
    <m/>
    <m/>
    <m/>
    <m/>
    <m/>
    <s v="YES"/>
    <m/>
    <s v="YES"/>
    <s v="YES"/>
    <m/>
    <m/>
    <s v="YES"/>
    <s v="AINS &amp; AIS"/>
  </r>
  <r>
    <s v="Tejasai R"/>
    <n v="8.1999999999999993"/>
    <x v="7"/>
    <s v="1.5 - 3"/>
    <s v="USA"/>
    <s v="18+ Months"/>
    <s v="18+ Months"/>
    <s v="18+ Months"/>
    <m/>
    <s v="18+ Months"/>
    <s v="18+ Months"/>
    <s v="18+ Months"/>
    <m/>
    <s v="18+ Months"/>
    <m/>
    <s v="18+ Months"/>
    <s v="18+ Months"/>
    <s v="6 - 18 Months"/>
    <s v="Less than 6 Months"/>
    <m/>
    <m/>
    <s v="No"/>
    <s v="YES"/>
    <s v="No"/>
    <s v="YES"/>
    <s v="YES"/>
    <s v="Yellow Belt"/>
    <m/>
    <m/>
    <m/>
    <m/>
    <m/>
  </r>
  <r>
    <s v="Anandu Viswanath"/>
    <n v="8.1999999999999993"/>
    <x v="9"/>
    <s v="3 - 5"/>
    <s v="USA;Other"/>
    <s v="6 - 18 Months"/>
    <s v="6 - 18 Months"/>
    <s v="6 - 18 Months"/>
    <s v="6 - 18 Months"/>
    <s v="0-6 months"/>
    <s v="0-6 months"/>
    <s v="6 - 18 Months"/>
    <m/>
    <s v="18+ Months"/>
    <m/>
    <s v="6 - 18 Months"/>
    <s v="18+ Months"/>
    <s v="Less than 6 Months"/>
    <s v="Less than 6 Months"/>
    <s v="Less than 6 Months"/>
    <s v="Less than 6 Months"/>
    <s v="No"/>
    <s v="No"/>
    <s v="No"/>
    <s v="YES"/>
    <s v="YES"/>
    <s v="None"/>
    <s v="YES"/>
    <m/>
    <m/>
    <m/>
    <m/>
  </r>
  <r>
    <s v="Shrinath Reddy N R"/>
    <n v="7.1"/>
    <x v="2"/>
    <s v="8-10"/>
    <s v="USA;UK"/>
    <s v="6 - 18 Months"/>
    <s v="6 - 18 Months"/>
    <s v="18+ Months"/>
    <m/>
    <m/>
    <m/>
    <m/>
    <m/>
    <m/>
    <m/>
    <m/>
    <s v="6 - 18 Months"/>
    <s v="18+ Months"/>
    <m/>
    <m/>
    <s v="18+ Months"/>
    <s v="No"/>
    <s v="No"/>
    <s v="No"/>
    <s v="YES"/>
    <s v="No"/>
    <s v="None"/>
    <m/>
    <m/>
    <m/>
    <s v="YES"/>
    <m/>
  </r>
  <r>
    <s v="Koushik SV"/>
    <n v="7.1"/>
    <x v="5"/>
    <s v="5-7"/>
    <s v="UK"/>
    <s v="18+ mnths"/>
    <s v="18+ Months"/>
    <s v="6 - 18 Months"/>
    <s v="18+ Months"/>
    <m/>
    <m/>
    <s v="6 - 18 Months"/>
    <m/>
    <m/>
    <s v="0-6 months"/>
    <m/>
    <s v="0-6 months"/>
    <s v="6 - 18 Months"/>
    <s v="6 - 18 Months"/>
    <s v="Less than 6 Months"/>
    <s v="Less than 6 Months"/>
    <s v="YES"/>
    <s v="YES"/>
    <s v="YES"/>
    <s v="YES"/>
    <s v="YES"/>
    <s v="Yellow Belt"/>
    <s v="YES"/>
    <m/>
    <m/>
    <m/>
    <m/>
  </r>
  <r>
    <s v="Manjunath.BR"/>
    <n v="7.1"/>
    <x v="4"/>
    <s v="3-5"/>
    <s v="USA"/>
    <s v="18+ Months"/>
    <s v="18+ Months"/>
    <s v="18+ Months"/>
    <s v="6 - 18 Months"/>
    <s v="18+ Months"/>
    <s v="18+ Months"/>
    <s v="18+ Months"/>
    <s v="18+ Months"/>
    <s v="18+ Months"/>
    <s v="18+ Months"/>
    <s v="18+ Months"/>
    <s v="6 - 18 Months"/>
    <m/>
    <m/>
    <m/>
    <s v="6 - 18 Months"/>
    <s v="No"/>
    <s v="No"/>
    <s v="No"/>
    <s v="YES"/>
    <s v="YES"/>
    <s v="None"/>
    <m/>
    <m/>
    <m/>
    <m/>
    <m/>
  </r>
  <r>
    <s v="Arun Kumar NG"/>
    <n v="7.1"/>
    <x v="2"/>
    <s v="8-10"/>
    <s v="USA"/>
    <s v="6 - 18 Months"/>
    <s v="18+ Months"/>
    <s v="18+ Months"/>
    <s v="18+ Months"/>
    <s v="18+ Months"/>
    <s v="18+ Months"/>
    <s v="18+ Months"/>
    <s v="6 - 18 Months"/>
    <s v="6 - 18 Months"/>
    <s v="6 - 18 Months"/>
    <s v="18+ Months"/>
    <s v="18+ Months"/>
    <m/>
    <s v="6 - 18 Months"/>
    <s v="6 - 18 Months"/>
    <s v="6 - 18 Months"/>
    <s v="No"/>
    <s v="No"/>
    <s v="No"/>
    <s v="No"/>
    <s v="No"/>
    <s v="None"/>
    <s v="YES"/>
    <m/>
    <m/>
    <s v="YES"/>
    <m/>
  </r>
  <r>
    <s v="Anurag Kumar"/>
    <n v="7.2"/>
    <x v="5"/>
    <s v="5-7"/>
    <s v="USA"/>
    <s v="18+ Months"/>
    <s v="18+ Months"/>
    <s v="18+ Months"/>
    <s v="18+ Months"/>
    <s v="18+ Months"/>
    <s v="18+ Months"/>
    <s v="18+ Months"/>
    <s v="18+ Months"/>
    <s v="6 - 18 Months"/>
    <m/>
    <s v="6 - 18 Months"/>
    <s v="18+ Months"/>
    <m/>
    <m/>
    <m/>
    <s v="6 - 18 Months"/>
    <s v="No"/>
    <s v="No"/>
    <s v="YES"/>
    <s v="YES"/>
    <s v="YES"/>
    <s v="None"/>
    <s v="YES"/>
    <s v="YES"/>
    <s v="YES"/>
    <m/>
    <m/>
  </r>
  <r>
    <s v="Saritha G"/>
    <n v="7.1"/>
    <x v="5"/>
    <s v="5-7"/>
    <s v="USA"/>
    <s v="18+ Months"/>
    <s v="0-6 months"/>
    <m/>
    <m/>
    <s v="6 - 18 Months"/>
    <s v="6 - 18 Months"/>
    <m/>
    <m/>
    <s v="18+ Months"/>
    <m/>
    <m/>
    <s v="0-6 months"/>
    <s v="Less than 6 Months"/>
    <s v="Less than 6 Months"/>
    <s v="Less than 6 Months"/>
    <s v="18+ Months"/>
    <s v="YES"/>
    <s v="YES"/>
    <s v="YES"/>
    <s v="YES"/>
    <s v="YES"/>
    <s v="Green Belt;Yellow Belt"/>
    <s v="YES"/>
    <s v="YES"/>
    <s v="YES"/>
    <s v="YES"/>
    <m/>
  </r>
  <r>
    <s v="Nithish PC"/>
    <n v="7.2"/>
    <x v="6"/>
    <s v="7-8"/>
    <s v="USA"/>
    <s v="18+ Months"/>
    <s v="18+ Months"/>
    <s v="18+ Months"/>
    <s v="6 - 18 Months"/>
    <s v="18+ Months"/>
    <s v="18+ Months"/>
    <s v="18+ Months"/>
    <m/>
    <m/>
    <m/>
    <m/>
    <s v="18+ Months"/>
    <s v="Less than 6 Months"/>
    <s v="Less than 6 Months"/>
    <m/>
    <s v="18+ Months"/>
    <s v="No"/>
    <s v="No"/>
    <s v="YES"/>
    <s v="YES"/>
    <s v="YES"/>
    <s v="None"/>
    <s v="YES"/>
    <m/>
    <s v="YES"/>
    <s v="YES"/>
    <m/>
  </r>
  <r>
    <s v="SHIVAKUMAR S"/>
    <n v="7.1"/>
    <x v="5"/>
    <s v="5-7"/>
    <s v="USA;UK"/>
    <m/>
    <s v="6 - 18 Months"/>
    <m/>
    <m/>
    <m/>
    <s v="18+ Months"/>
    <s v="18+ Months"/>
    <m/>
    <s v="6 - 18 Months"/>
    <m/>
    <m/>
    <s v="6 - 18 Months"/>
    <m/>
    <m/>
    <m/>
    <s v="18+ Months"/>
    <s v="No"/>
    <s v="No"/>
    <s v="No"/>
    <s v="YES"/>
    <s v="YES"/>
    <s v="None"/>
    <s v="YES"/>
    <m/>
    <m/>
    <s v="YES"/>
    <m/>
  </r>
  <r>
    <s v="S Sandeep"/>
    <n v="7.1"/>
    <x v="3"/>
    <s v="10+"/>
    <s v="USA"/>
    <s v="18+ Months"/>
    <s v="18+ Months"/>
    <s v="18+ Months"/>
    <m/>
    <s v="18+ Months"/>
    <m/>
    <s v="18+ Months"/>
    <m/>
    <s v="18+ Months"/>
    <m/>
    <s v="0-6 months"/>
    <s v="6 - 18 Months"/>
    <s v="6 - 18 Months"/>
    <m/>
    <m/>
    <m/>
    <s v="No"/>
    <s v="YES"/>
    <s v="YES"/>
    <s v="YES"/>
    <s v="YES"/>
    <s v="None"/>
    <m/>
    <m/>
    <m/>
    <m/>
    <m/>
  </r>
  <r>
    <s v="Chaithra.SL"/>
    <n v="7.1"/>
    <x v="2"/>
    <s v="8-10"/>
    <s v="USA"/>
    <s v="6 - 18 Months"/>
    <s v="6 - 18 Months"/>
    <s v="6 - 18 Months"/>
    <m/>
    <s v="6 - 18 Months"/>
    <m/>
    <s v="0-6 months"/>
    <m/>
    <s v="0-6 months"/>
    <s v="6 - 18 Months"/>
    <s v="18+ Months"/>
    <s v="6 - 18 Months"/>
    <s v="18+ Months"/>
    <m/>
    <s v="6 - 18 Months"/>
    <m/>
    <s v="No"/>
    <s v="No"/>
    <s v="No"/>
    <s v="YES"/>
    <s v="YES"/>
    <s v="None"/>
    <m/>
    <m/>
    <m/>
    <s v="YES"/>
    <m/>
  </r>
  <r>
    <s v="Bismi Juna"/>
    <n v="8.1999999999999993"/>
    <x v="6"/>
    <s v="7-8"/>
    <s v="USA"/>
    <m/>
    <m/>
    <m/>
    <m/>
    <m/>
    <m/>
    <m/>
    <m/>
    <m/>
    <m/>
    <m/>
    <m/>
    <m/>
    <m/>
    <m/>
    <s v="6 - 18 Months"/>
    <s v="No"/>
    <s v="No"/>
    <s v="No"/>
    <s v="No"/>
    <s v="No"/>
    <s v="None"/>
    <s v="YES"/>
    <s v="YES"/>
    <m/>
    <s v="YES"/>
    <m/>
  </r>
  <r>
    <s v="Shwetha M"/>
    <n v="7.1"/>
    <x v="6"/>
    <s v="7-8"/>
    <s v="USA"/>
    <m/>
    <m/>
    <m/>
    <m/>
    <m/>
    <m/>
    <m/>
    <m/>
    <s v="18+ Months"/>
    <m/>
    <m/>
    <m/>
    <m/>
    <m/>
    <m/>
    <s v="6 - 18 Months"/>
    <s v="No"/>
    <s v="No"/>
    <s v="No"/>
    <s v="YES"/>
    <s v="YES"/>
    <s v="None"/>
    <s v="YES"/>
    <m/>
    <m/>
    <s v="YES"/>
    <m/>
  </r>
  <r>
    <s v="Santanu Roy"/>
    <n v="7.1"/>
    <x v="8"/>
    <s v="0.5 - 1.5"/>
    <s v="USA;Canada"/>
    <m/>
    <s v="6 - 18 Months"/>
    <m/>
    <m/>
    <s v="6 - 18 Months"/>
    <s v="6 - 18 Months"/>
    <s v="6 - 18 Months"/>
    <m/>
    <s v="6 - 18 Months"/>
    <m/>
    <s v="6 - 18 Months"/>
    <s v="6 - 18 Months"/>
    <m/>
    <m/>
    <m/>
    <s v="6 - 18 Months"/>
    <s v="YES"/>
    <s v="YES"/>
    <s v="YES"/>
    <s v="YES"/>
    <s v="YES"/>
    <s v="None"/>
    <s v="YES"/>
    <s v="YES"/>
    <m/>
    <m/>
    <m/>
  </r>
  <r>
    <s v="Manish Singh"/>
    <n v="8.1"/>
    <x v="8"/>
    <s v="0.5 - 1.5"/>
    <s v="UK"/>
    <m/>
    <m/>
    <m/>
    <m/>
    <m/>
    <m/>
    <m/>
    <s v="18+ Months"/>
    <m/>
    <m/>
    <s v="18+ Months"/>
    <s v="18+ Months"/>
    <s v="18+ Months"/>
    <m/>
    <m/>
    <m/>
    <s v="YES"/>
    <m/>
    <m/>
    <s v="YES"/>
    <s v="YES"/>
    <m/>
    <m/>
    <m/>
    <m/>
    <m/>
    <m/>
  </r>
  <r>
    <s v="Gopal Singhal"/>
    <n v="7.1"/>
    <x v="5"/>
    <s v="5-7"/>
    <s v="USA"/>
    <s v="6 - 18 Months"/>
    <s v="18+ Months"/>
    <s v="6 - 18 Months"/>
    <s v="0-6 months"/>
    <s v="18+ Months"/>
    <s v="6 - 18 Months"/>
    <s v="6 - 18 Months"/>
    <s v="6 - 18 Months"/>
    <s v="0-6 months"/>
    <s v="6 - 18 Months"/>
    <s v="18+ Months"/>
    <s v="18+ Months"/>
    <s v="18+ Months"/>
    <s v="18+ Months"/>
    <m/>
    <m/>
    <m/>
    <m/>
    <m/>
    <m/>
    <m/>
    <m/>
    <m/>
    <m/>
    <m/>
    <m/>
    <m/>
  </r>
  <r>
    <s v="Punith R"/>
    <n v="7.1"/>
    <x v="2"/>
    <s v="8-10"/>
    <s v="Other"/>
    <s v="0-6 months"/>
    <s v="6 - 18 Months"/>
    <m/>
    <m/>
    <s v="6 - 18 Months"/>
    <s v="6 - 18 Months"/>
    <s v="6 - 18 Months"/>
    <m/>
    <m/>
    <m/>
    <m/>
    <s v="6 - 18 Months"/>
    <m/>
    <m/>
    <m/>
    <s v="6 - 18 Months"/>
    <m/>
    <m/>
    <m/>
    <s v="YES"/>
    <m/>
    <m/>
    <m/>
    <m/>
    <m/>
    <s v="YES"/>
    <m/>
  </r>
  <r>
    <s v="Chandana. R"/>
    <n v="7.2"/>
    <x v="2"/>
    <s v="8-10"/>
    <s v="USA"/>
    <s v="18+ mnths"/>
    <s v="18+ Months"/>
    <s v="18+ mnths"/>
    <m/>
    <s v="18+ Months"/>
    <s v="18+ Months"/>
    <s v="18+ Months"/>
    <s v="0-6 months"/>
    <s v="6 - 18 Months"/>
    <s v="6 - 18 Months"/>
    <s v="18+ Months"/>
    <s v="18+ Months"/>
    <s v="18+ Months"/>
    <s v="18+ Months"/>
    <m/>
    <m/>
    <s v="No"/>
    <s v="No"/>
    <s v="YES"/>
    <s v="YES"/>
    <s v="YES"/>
    <s v="None"/>
    <m/>
    <m/>
    <m/>
    <m/>
    <m/>
  </r>
  <r>
    <s v="Tejashree N"/>
    <n v="7.1"/>
    <x v="4"/>
    <s v="3-5"/>
    <s v="USA"/>
    <s v="6 - 18 Months"/>
    <s v="18+ Months"/>
    <s v="18+ Months"/>
    <s v="0-6 months"/>
    <s v="18+ Months"/>
    <s v="6 - 18 Months"/>
    <s v="18+ Months"/>
    <s v="0-6 months"/>
    <s v="0-6 months"/>
    <s v="18+ Months"/>
    <s v="18+ Months"/>
    <s v="18+ Months"/>
    <s v="6 - 18 Months"/>
    <m/>
    <s v="Less than 6 Months"/>
    <s v="6 - 18 Months"/>
    <s v="YES"/>
    <s v="No"/>
    <s v="No"/>
    <s v="YES"/>
    <s v="YES"/>
    <s v="None"/>
    <s v="YES"/>
    <m/>
    <m/>
    <m/>
    <m/>
  </r>
  <r>
    <s v="Doddam Praveen Kumar"/>
    <n v="7.1"/>
    <x v="6"/>
    <s v="7-8"/>
    <s v="USA;UK;Canada"/>
    <s v="0-6 months"/>
    <s v="18+ Months"/>
    <s v="18+ mnths"/>
    <s v="0-6 months"/>
    <s v="6 - 18 Months"/>
    <s v="6 - 18 Months"/>
    <m/>
    <s v="6 - 18 Months"/>
    <s v="0-6 months"/>
    <m/>
    <s v="18+ Months"/>
    <s v="18+ Months"/>
    <m/>
    <m/>
    <m/>
    <s v="6 - 18 Months"/>
    <s v="No"/>
    <s v="No"/>
    <s v="No"/>
    <s v="YES"/>
    <s v="YES"/>
    <s v="None"/>
    <s v="YES"/>
    <m/>
    <s v="YES"/>
    <m/>
    <m/>
  </r>
  <r>
    <s v="Abhijith vr"/>
    <n v="8.1999999999999993"/>
    <x v="5"/>
    <s v="5-7"/>
    <s v="USA;UK"/>
    <s v="6 - 18 Months"/>
    <s v="18+ Months"/>
    <s v="6 - 18 Months"/>
    <s v="18+ Months"/>
    <s v="18+ Months"/>
    <s v="18+ Months"/>
    <s v="18+ Months"/>
    <m/>
    <s v="18+ Months"/>
    <s v="18+ Months"/>
    <s v="18+ Months"/>
    <s v="18+ Months"/>
    <s v="6 - 18 Months"/>
    <s v="6 - 18 Months"/>
    <s v="Less than 6 Months"/>
    <s v="18+ Months"/>
    <s v="YES"/>
    <s v="No"/>
    <s v="YES"/>
    <s v="YES"/>
    <s v="YES"/>
    <s v="None"/>
    <s v="YES"/>
    <s v="YES"/>
    <s v="YES"/>
    <m/>
    <m/>
  </r>
  <r>
    <s v="Santhosh N"/>
    <n v="7.1"/>
    <x v="4"/>
    <s v="3-5"/>
    <s v="UK;USA"/>
    <s v="0-6 months"/>
    <m/>
    <m/>
    <m/>
    <m/>
    <m/>
    <s v="6 - 18 Months"/>
    <m/>
    <s v="0-6 months"/>
    <m/>
    <s v="0-6 months"/>
    <m/>
    <s v="6 - 18 Months"/>
    <m/>
    <m/>
    <s v="Less than 6 Months"/>
    <s v="No"/>
    <s v="No"/>
    <s v="No"/>
    <s v="YES"/>
    <s v="YES"/>
    <s v="None"/>
    <m/>
    <m/>
    <m/>
    <m/>
    <m/>
  </r>
  <r>
    <s v="Sanjay Ishwar Naik"/>
    <n v="7.1"/>
    <x v="4"/>
    <s v="3-5"/>
    <s v="USA"/>
    <s v="0-6 mnths"/>
    <s v="18+ mnths"/>
    <s v="18+ mnths"/>
    <s v="0-6 mnths"/>
    <s v="6 - 18 Months"/>
    <s v="6 - 18 Months"/>
    <m/>
    <s v="6 - 18 mnths"/>
    <s v="0-6 months"/>
    <m/>
    <s v="18+ Months"/>
    <s v="18+ mnths"/>
    <m/>
    <s v="Less than 6 Months"/>
    <m/>
    <m/>
    <s v="No"/>
    <s v="YES"/>
    <s v="YES"/>
    <s v="No"/>
    <s v="No"/>
    <s v="None"/>
    <s v="YES"/>
    <s v="YES"/>
    <s v="YES"/>
    <m/>
    <m/>
  </r>
  <r>
    <s v="Saiamruta Revankar"/>
    <n v="8.1"/>
    <x v="8"/>
    <s v="0.5 - 1.5"/>
    <s v="UK"/>
    <s v="6 - 18 mnths"/>
    <s v="18+ mnths"/>
    <s v="6 - 18 mnths"/>
    <s v="18+ mnths"/>
    <s v="18+ Months"/>
    <s v="18+ Months"/>
    <s v="18+ Months"/>
    <m/>
    <s v="18+ mnths"/>
    <s v="18+ mnths"/>
    <s v="18+ Months"/>
    <s v="18+ mnths"/>
    <s v="Less than 6 Months"/>
    <m/>
    <m/>
    <s v="6 - 18 Months"/>
    <s v="No"/>
    <s v="No"/>
    <s v="No"/>
    <s v="YES"/>
    <s v="No"/>
    <s v="None"/>
    <s v="YES"/>
    <m/>
    <m/>
    <s v="YES"/>
    <m/>
  </r>
  <r>
    <s v="Magaji Sridhar Anilkumar"/>
    <m/>
    <x v="3"/>
    <s v="10+"/>
    <s v="USA;AUS"/>
    <s v="No Experience"/>
    <s v="18+ mnths"/>
    <s v="6 - 18 mnths"/>
    <s v="6 - 18 mnths"/>
    <s v="6 - 18 Months"/>
    <s v="0-6 months"/>
    <m/>
    <m/>
    <m/>
    <m/>
    <m/>
    <s v="0-6 months"/>
    <s v="6 - 18 Months"/>
    <s v="6 - 18 Months"/>
    <s v="0-6 months"/>
    <s v="0-6 months"/>
    <m/>
    <m/>
    <m/>
    <m/>
    <m/>
    <s v="YES"/>
    <s v="YES"/>
    <s v="YES"/>
    <s v="YES"/>
    <s v="YES"/>
    <s v="Yes"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m/>
    <m/>
    <m/>
    <x v="0"/>
    <m/>
    <s v="Pre - Placement"/>
    <m/>
    <m/>
    <s v="Placement"/>
    <m/>
    <m/>
    <m/>
    <m/>
    <m/>
    <s v="Post - Placement"/>
    <m/>
    <m/>
    <s v="Claims"/>
    <m/>
    <m/>
    <m/>
    <s v="MIS"/>
    <s v="Auto"/>
    <s v="App / Sys Migration"/>
    <s v="Training / OJ Support"/>
    <s v="Proc Exc _x000a_(YB / GB / BB / MBB)"/>
    <s v="Onshore Trans _x000a_( remote)"/>
    <s v="EPIC"/>
    <s v="AMS 360"/>
    <s v="CSR24"/>
    <s v="IMAGERIGHT"/>
    <s v="Institutes"/>
  </r>
  <r>
    <m/>
    <m/>
    <s v="Tot (yrs)"/>
    <x v="1"/>
    <s v="Geo Exp"/>
    <s v="Client Discovery"/>
    <s v="Renewal Planning"/>
    <s v="Subm Creation"/>
    <s v="Program Brokering"/>
    <s v="Quote Review"/>
    <s v="Quote presentation"/>
    <s v="Bind Auth &amp; Review​"/>
    <s v="Premium Financing"/>
    <s v="Inv"/>
    <s v="Evidence of Coverage"/>
    <s v="Pol Admin"/>
    <s v="Endmnt"/>
    <s v="Claims Mgmt &amp; Oversight"/>
    <s v="Claims Analytics"/>
    <s v="Claims  Creation Guide"/>
    <m/>
    <m/>
    <m/>
    <m/>
    <m/>
    <m/>
    <m/>
    <m/>
    <m/>
    <m/>
    <m/>
    <m/>
  </r>
  <r>
    <s v="Jayesh Shetty"/>
    <n v="7"/>
    <s v="8-10"/>
    <x v="2"/>
    <s v="USA;UK"/>
    <s v="18+ mnths"/>
    <s v="6 - 18 mnths"/>
    <m/>
    <m/>
    <m/>
    <m/>
    <m/>
    <m/>
    <m/>
    <s v="6 - 18 mnths"/>
    <m/>
    <s v="6 - 18 mnths"/>
    <s v="6 - 18 mnths"/>
    <m/>
    <m/>
    <m/>
    <m/>
    <m/>
    <m/>
    <s v="YES"/>
    <m/>
    <m/>
    <m/>
    <m/>
    <m/>
    <m/>
    <m/>
  </r>
  <r>
    <s v="Santosh Chauhan"/>
    <n v="7"/>
    <s v="10+"/>
    <x v="3"/>
    <s v="USA"/>
    <m/>
    <s v="18+ mnths"/>
    <m/>
    <m/>
    <m/>
    <m/>
    <m/>
    <m/>
    <s v="18+ mnths"/>
    <s v="18+ mnths"/>
    <s v="18+ mnths"/>
    <m/>
    <m/>
    <m/>
    <m/>
    <m/>
    <m/>
    <m/>
    <s v="YES"/>
    <m/>
    <m/>
    <m/>
    <s v="YES"/>
    <m/>
    <m/>
    <m/>
    <m/>
  </r>
  <r>
    <s v="Vikram Anand"/>
    <n v="7"/>
    <s v="10+"/>
    <x v="4"/>
    <s v="USA;UK"/>
    <m/>
    <s v="6 - 18 mnths"/>
    <m/>
    <m/>
    <m/>
    <m/>
    <m/>
    <m/>
    <m/>
    <m/>
    <m/>
    <m/>
    <m/>
    <m/>
    <m/>
    <s v="YES"/>
    <m/>
    <m/>
    <s v="YES"/>
    <s v="YES"/>
    <m/>
    <s v="YES"/>
    <m/>
    <m/>
    <m/>
    <m/>
    <m/>
  </r>
  <r>
    <s v="Harish Anand"/>
    <n v="8"/>
    <s v="3-5"/>
    <x v="5"/>
    <s v="UK"/>
    <m/>
    <m/>
    <m/>
    <m/>
    <m/>
    <m/>
    <m/>
    <m/>
    <m/>
    <m/>
    <m/>
    <m/>
    <s v="18+ mnths"/>
    <m/>
    <m/>
    <m/>
    <m/>
    <m/>
    <m/>
    <m/>
    <m/>
    <m/>
    <m/>
    <m/>
    <m/>
    <m/>
    <m/>
  </r>
  <r>
    <s v="Pradeep Kumar L"/>
    <n v="8"/>
    <s v="3-5"/>
    <x v="6"/>
    <s v="AUS"/>
    <m/>
    <m/>
    <m/>
    <m/>
    <m/>
    <m/>
    <m/>
    <m/>
    <m/>
    <m/>
    <m/>
    <m/>
    <m/>
    <s v="6 - 18 mnths"/>
    <m/>
    <m/>
    <m/>
    <m/>
    <m/>
    <m/>
    <m/>
    <m/>
    <m/>
    <m/>
    <m/>
    <m/>
    <m/>
  </r>
  <r>
    <s v="Shelina Jena"/>
    <n v="7"/>
    <s v="5-7"/>
    <x v="7"/>
    <s v="USA"/>
    <m/>
    <m/>
    <m/>
    <m/>
    <m/>
    <m/>
    <m/>
    <m/>
    <m/>
    <m/>
    <m/>
    <m/>
    <m/>
    <m/>
    <s v="18+ mnths"/>
    <s v="YES"/>
    <m/>
    <m/>
    <m/>
    <m/>
    <m/>
    <m/>
    <m/>
    <m/>
    <m/>
    <m/>
    <m/>
  </r>
  <r>
    <s v="Veeranagaraj Hiremath"/>
    <n v="7"/>
    <s v="5-7"/>
    <x v="5"/>
    <s v="USA;Canada;"/>
    <m/>
    <s v="18+ mnths"/>
    <m/>
    <m/>
    <s v="18+ mnths"/>
    <s v="18+ mnths"/>
    <m/>
    <m/>
    <s v="18+ mnths"/>
    <m/>
    <s v="18+ mnths"/>
    <m/>
    <m/>
    <m/>
    <m/>
    <s v="YES"/>
    <m/>
    <m/>
    <m/>
    <s v="YES"/>
    <m/>
    <m/>
    <m/>
    <m/>
    <m/>
    <m/>
    <m/>
  </r>
  <r>
    <s v="Amrutha Arali"/>
    <n v="7"/>
    <s v="5-7"/>
    <x v="5"/>
    <s v="USA"/>
    <m/>
    <s v="18+ mnths"/>
    <m/>
    <m/>
    <m/>
    <m/>
    <m/>
    <m/>
    <m/>
    <m/>
    <m/>
    <s v="18+ mnths"/>
    <m/>
    <m/>
    <m/>
    <m/>
    <m/>
    <m/>
    <m/>
    <m/>
    <m/>
    <m/>
    <s v="YES"/>
    <m/>
    <s v="YES"/>
    <m/>
    <m/>
  </r>
  <r>
    <s v="M Dhanashekar"/>
    <n v="8"/>
    <s v="3-5"/>
    <x v="7"/>
    <s v="USA"/>
    <m/>
    <s v="6 - 18 mnths"/>
    <m/>
    <m/>
    <m/>
    <m/>
    <m/>
    <m/>
    <m/>
    <m/>
    <m/>
    <m/>
    <s v="18+ mnths"/>
    <m/>
    <m/>
    <s v="YES"/>
    <m/>
    <m/>
    <m/>
    <m/>
    <m/>
    <m/>
    <m/>
    <m/>
    <m/>
    <m/>
    <m/>
  </r>
  <r>
    <s v="Apoorva H A"/>
    <n v="8"/>
    <s v="3-5"/>
    <x v="5"/>
    <s v="USA"/>
    <m/>
    <s v="18+ mnths"/>
    <m/>
    <m/>
    <m/>
    <m/>
    <m/>
    <m/>
    <s v="6 - 18 mnths"/>
    <m/>
    <m/>
    <m/>
    <m/>
    <m/>
    <m/>
    <s v="YES"/>
    <s v="YES"/>
    <m/>
    <m/>
    <s v="YES"/>
    <s v="YES"/>
    <s v="YES"/>
    <s v="YES"/>
    <m/>
    <m/>
    <m/>
    <m/>
  </r>
  <r>
    <s v="Naresh Moguram"/>
    <n v="7"/>
    <s v="10+"/>
    <x v="4"/>
    <s v="USA"/>
    <m/>
    <s v="18+ mnths"/>
    <m/>
    <m/>
    <m/>
    <m/>
    <m/>
    <m/>
    <m/>
    <m/>
    <m/>
    <s v="18+ mnths"/>
    <m/>
    <m/>
    <m/>
    <s v="YES"/>
    <m/>
    <m/>
    <m/>
    <s v="YES"/>
    <m/>
    <m/>
    <m/>
    <m/>
    <m/>
    <m/>
    <m/>
  </r>
  <r>
    <s v="Vikram Prakash Bhat"/>
    <n v="8"/>
    <s v="7-8"/>
    <x v="4"/>
    <s v="USA"/>
    <m/>
    <s v="18+ mnths"/>
    <m/>
    <m/>
    <m/>
    <m/>
    <m/>
    <m/>
    <m/>
    <m/>
    <m/>
    <m/>
    <m/>
    <m/>
    <m/>
    <s v="YES"/>
    <s v="YES"/>
    <m/>
    <m/>
    <s v="YES"/>
    <m/>
    <m/>
    <s v="YES"/>
    <m/>
    <m/>
    <s v="YES"/>
    <m/>
  </r>
  <r>
    <s v="Nidhi Kumari "/>
    <n v="8"/>
    <s v="5-7"/>
    <x v="2"/>
    <s v="UK"/>
    <m/>
    <s v="18+ mnths"/>
    <m/>
    <m/>
    <m/>
    <m/>
    <m/>
    <m/>
    <s v="18+ mnths"/>
    <m/>
    <s v="18+ mnths"/>
    <m/>
    <m/>
    <m/>
    <m/>
    <m/>
    <m/>
    <m/>
    <m/>
    <s v="YES"/>
    <m/>
    <m/>
    <m/>
    <m/>
    <m/>
    <m/>
    <m/>
  </r>
  <r>
    <s v="Prince Peter"/>
    <n v="7"/>
    <s v="10+"/>
    <x v="4"/>
    <s v="UK &amp; AUS"/>
    <m/>
    <s v="18+ mnths"/>
    <m/>
    <m/>
    <m/>
    <m/>
    <m/>
    <m/>
    <m/>
    <m/>
    <m/>
    <s v="18+ mnths"/>
    <m/>
    <m/>
    <m/>
    <m/>
    <m/>
    <m/>
    <m/>
    <s v="YES"/>
    <m/>
    <m/>
    <m/>
    <m/>
    <m/>
    <m/>
    <m/>
  </r>
  <r>
    <s v="Joyline Viola Rebello"/>
    <n v="8"/>
    <s v="3-5"/>
    <x v="5"/>
    <s v="APAC &amp; UK"/>
    <m/>
    <s v="18+ mnths"/>
    <m/>
    <m/>
    <m/>
    <m/>
    <m/>
    <m/>
    <m/>
    <m/>
    <m/>
    <m/>
    <m/>
    <s v="18+ mnths"/>
    <m/>
    <s v="YES"/>
    <m/>
    <m/>
    <m/>
    <s v="YES"/>
    <m/>
    <m/>
    <m/>
    <m/>
    <m/>
    <m/>
    <m/>
  </r>
  <r>
    <s v="Abishek V"/>
    <n v="8"/>
    <s v="7-8"/>
    <x v="5"/>
    <s v="USA"/>
    <m/>
    <s v="18+ mnths"/>
    <m/>
    <m/>
    <m/>
    <m/>
    <m/>
    <m/>
    <m/>
    <s v="18+ mnths"/>
    <m/>
    <m/>
    <s v="6 - 18 mnths"/>
    <m/>
    <m/>
    <s v="YES"/>
    <m/>
    <m/>
    <m/>
    <s v="YES"/>
    <m/>
    <m/>
    <m/>
    <m/>
    <m/>
    <m/>
    <m/>
  </r>
  <r>
    <s v="Lakshmipathy Chalicheemala "/>
    <n v="8"/>
    <s v="1.5 - 3"/>
    <x v="7"/>
    <s v="USA"/>
    <m/>
    <m/>
    <m/>
    <m/>
    <m/>
    <s v="6 - 18 mnths"/>
    <m/>
    <m/>
    <m/>
    <m/>
    <m/>
    <s v="6 - 18 mnths"/>
    <m/>
    <m/>
    <m/>
    <s v="YES"/>
    <m/>
    <m/>
    <m/>
    <s v="YES"/>
    <m/>
    <m/>
    <m/>
    <m/>
    <m/>
    <s v="YES"/>
    <m/>
  </r>
  <r>
    <s v="Geetanjali G"/>
    <n v="8"/>
    <s v="5-7"/>
    <x v="2"/>
    <s v="UK"/>
    <m/>
    <s v="18+ mnths"/>
    <m/>
    <m/>
    <m/>
    <m/>
    <m/>
    <m/>
    <s v="18+ mnths"/>
    <m/>
    <s v="18+ mnths"/>
    <m/>
    <m/>
    <m/>
    <m/>
    <m/>
    <s v="YES"/>
    <m/>
    <m/>
    <s v="YES"/>
    <s v="YES"/>
    <m/>
    <m/>
    <m/>
    <m/>
    <m/>
    <m/>
  </r>
  <r>
    <s v="Pooja S"/>
    <n v="8"/>
    <s v="5-7"/>
    <x v="5"/>
    <s v="USA"/>
    <m/>
    <s v="18+ mnths"/>
    <m/>
    <m/>
    <m/>
    <m/>
    <m/>
    <m/>
    <m/>
    <m/>
    <m/>
    <s v="18+ mnths"/>
    <m/>
    <m/>
    <m/>
    <m/>
    <m/>
    <m/>
    <m/>
    <s v="YES"/>
    <m/>
    <m/>
    <m/>
    <s v="YES"/>
    <m/>
    <s v="YES"/>
    <m/>
  </r>
  <r>
    <s v="Mohan V Kumar "/>
    <n v="8"/>
    <s v="3-5"/>
    <x v="5"/>
    <s v="USA"/>
    <m/>
    <m/>
    <m/>
    <m/>
    <m/>
    <m/>
    <m/>
    <m/>
    <m/>
    <s v="18+ mnths"/>
    <m/>
    <m/>
    <m/>
    <m/>
    <m/>
    <s v="YES"/>
    <m/>
    <m/>
    <m/>
    <s v="YES"/>
    <m/>
    <m/>
    <s v="YES"/>
    <m/>
    <s v="YES"/>
    <s v="YES"/>
    <m/>
  </r>
  <r>
    <s v="Natri Aakash"/>
    <n v="8"/>
    <s v="3-5"/>
    <x v="5"/>
    <s v="USA"/>
    <m/>
    <s v="18+ mnths"/>
    <s v="18+ mnths"/>
    <m/>
    <s v="18+ mnths"/>
    <m/>
    <s v="18+ mnths"/>
    <m/>
    <m/>
    <m/>
    <m/>
    <m/>
    <s v="18+ mnths"/>
    <m/>
    <m/>
    <m/>
    <s v="YES"/>
    <s v="YES"/>
    <m/>
    <s v="YES"/>
    <m/>
    <m/>
    <m/>
    <m/>
    <m/>
    <m/>
    <m/>
  </r>
  <r>
    <s v="Suma P"/>
    <n v="8"/>
    <s v="3-5"/>
    <x v="5"/>
    <s v="USA"/>
    <m/>
    <s v="18+ mnths"/>
    <s v="6 - 18 mnths"/>
    <m/>
    <m/>
    <m/>
    <m/>
    <m/>
    <m/>
    <m/>
    <s v="6 - 18 mnths"/>
    <m/>
    <m/>
    <m/>
    <m/>
    <s v="YES"/>
    <m/>
    <m/>
    <m/>
    <s v="YES"/>
    <m/>
    <m/>
    <s v="YES"/>
    <s v="YES"/>
    <m/>
    <s v="YES"/>
    <m/>
  </r>
  <r>
    <s v="Thirumala Reddy S"/>
    <n v="8"/>
    <s v="3-5"/>
    <x v="5"/>
    <s v="USA"/>
    <m/>
    <m/>
    <m/>
    <m/>
    <m/>
    <m/>
    <m/>
    <m/>
    <m/>
    <s v="18+ mnths"/>
    <m/>
    <m/>
    <m/>
    <m/>
    <m/>
    <m/>
    <m/>
    <m/>
    <m/>
    <m/>
    <m/>
    <m/>
    <s v="YES"/>
    <m/>
    <s v="YES"/>
    <m/>
    <m/>
  </r>
  <r>
    <s v="Zaiba Sulthana "/>
    <n v="8"/>
    <s v="3-5"/>
    <x v="6"/>
    <s v="USA"/>
    <m/>
    <s v="18+ mnths"/>
    <m/>
    <m/>
    <m/>
    <m/>
    <m/>
    <m/>
    <m/>
    <m/>
    <m/>
    <m/>
    <m/>
    <m/>
    <m/>
    <m/>
    <m/>
    <m/>
    <m/>
    <s v="YES"/>
    <m/>
    <m/>
    <s v="YES"/>
    <m/>
    <m/>
    <m/>
    <m/>
  </r>
  <r>
    <s v="Chetankumar Honakeri "/>
    <n v="7"/>
    <s v="10+"/>
    <x v="4"/>
    <s v="USA"/>
    <m/>
    <m/>
    <m/>
    <m/>
    <m/>
    <m/>
    <m/>
    <m/>
    <m/>
    <s v="18+ mnths"/>
    <m/>
    <m/>
    <m/>
    <m/>
    <m/>
    <s v="YES"/>
    <m/>
    <m/>
    <m/>
    <s v="YES"/>
    <m/>
    <m/>
    <s v="YES"/>
    <s v="YES"/>
    <s v="YES"/>
    <s v="YES"/>
    <m/>
  </r>
  <r>
    <s v="Sanjeev Krishna V"/>
    <n v="8"/>
    <s v="3-5"/>
    <x v="5"/>
    <s v="USA"/>
    <m/>
    <s v="18+ mnths"/>
    <m/>
    <m/>
    <s v="18+ mnths"/>
    <s v="18+ mnths"/>
    <s v="18+ mnths"/>
    <m/>
    <s v="6 - 18 mnths"/>
    <m/>
    <m/>
    <s v="6 - 18 mnths"/>
    <s v="18+ mnths"/>
    <m/>
    <m/>
    <m/>
    <m/>
    <m/>
    <m/>
    <s v="YES"/>
    <m/>
    <m/>
    <m/>
    <m/>
    <m/>
    <s v="YES"/>
    <m/>
  </r>
  <r>
    <s v="Binu K Bose"/>
    <n v="7"/>
    <s v="10+"/>
    <x v="8"/>
    <s v="USA"/>
    <m/>
    <s v="18+ mnths"/>
    <s v="18+ mnths"/>
    <m/>
    <s v="18+ mnths"/>
    <m/>
    <s v="18+ mnths"/>
    <m/>
    <s v="18+ mnths"/>
    <s v="18+ mnths"/>
    <s v="18+ mnths"/>
    <s v="18+ mnths"/>
    <m/>
    <m/>
    <m/>
    <m/>
    <m/>
    <m/>
    <m/>
    <m/>
    <m/>
    <m/>
    <s v="YES"/>
    <m/>
    <s v="YES"/>
    <s v="YES"/>
    <m/>
  </r>
  <r>
    <s v="Rohith R"/>
    <n v="8"/>
    <s v="3-5"/>
    <x v="6"/>
    <s v="USA"/>
    <m/>
    <s v="6 - 18 mnths"/>
    <m/>
    <m/>
    <m/>
    <m/>
    <m/>
    <m/>
    <s v="6 - 18 mnths"/>
    <m/>
    <m/>
    <m/>
    <m/>
    <m/>
    <m/>
    <s v="YES"/>
    <m/>
    <m/>
    <m/>
    <s v="YES"/>
    <m/>
    <m/>
    <m/>
    <m/>
    <m/>
    <m/>
    <m/>
  </r>
  <r>
    <s v="Sajith C P"/>
    <n v="8"/>
    <s v="1.5 - 3"/>
    <x v="7"/>
    <s v="USA"/>
    <m/>
    <s v="18+ mnths"/>
    <m/>
    <m/>
    <m/>
    <m/>
    <m/>
    <m/>
    <m/>
    <m/>
    <m/>
    <m/>
    <m/>
    <m/>
    <m/>
    <m/>
    <m/>
    <m/>
    <m/>
    <m/>
    <m/>
    <m/>
    <s v="YES"/>
    <m/>
    <m/>
    <m/>
    <m/>
  </r>
  <r>
    <s v="Sachin AK"/>
    <n v="8"/>
    <s v="1.5 - 3"/>
    <x v="6"/>
    <s v="USA"/>
    <m/>
    <s v="18+ mnths"/>
    <m/>
    <m/>
    <m/>
    <s v="6 - 18 mnths"/>
    <m/>
    <m/>
    <m/>
    <m/>
    <m/>
    <m/>
    <m/>
    <m/>
    <m/>
    <s v="YES"/>
    <m/>
    <m/>
    <m/>
    <s v="YES"/>
    <m/>
    <m/>
    <s v="YES"/>
    <m/>
    <m/>
    <s v="YES"/>
    <m/>
  </r>
  <r>
    <s v="Santhosh HS"/>
    <n v="8"/>
    <s v="10+"/>
    <x v="2"/>
    <s v="USA"/>
    <m/>
    <s v="18+ mnths"/>
    <m/>
    <m/>
    <m/>
    <m/>
    <m/>
    <m/>
    <s v="18+ mnths"/>
    <m/>
    <m/>
    <s v="18+ mnths"/>
    <m/>
    <m/>
    <m/>
    <s v="YES"/>
    <m/>
    <m/>
    <m/>
    <s v="YES"/>
    <m/>
    <m/>
    <m/>
    <m/>
    <m/>
    <s v="YES"/>
    <m/>
  </r>
  <r>
    <s v="Meagan Lewis"/>
    <n v="8"/>
    <s v="7-8"/>
    <x v="6"/>
    <s v="USA;UK"/>
    <m/>
    <s v="18+ mnths"/>
    <m/>
    <m/>
    <m/>
    <m/>
    <m/>
    <m/>
    <m/>
    <m/>
    <m/>
    <m/>
    <m/>
    <m/>
    <m/>
    <m/>
    <m/>
    <m/>
    <m/>
    <s v="YES"/>
    <m/>
    <m/>
    <s v="YES"/>
    <m/>
    <m/>
    <m/>
    <m/>
  </r>
  <r>
    <s v="Sandhya MS"/>
    <n v="8"/>
    <s v="7-8"/>
    <x v="4"/>
    <s v="USA"/>
    <m/>
    <s v="18+ mnths"/>
    <s v="18+ mnths"/>
    <m/>
    <s v="18+ mnths"/>
    <s v="18+ mnths"/>
    <s v="18+ mnths"/>
    <m/>
    <m/>
    <m/>
    <m/>
    <s v="18+ mnths"/>
    <m/>
    <m/>
    <m/>
    <s v="YES"/>
    <m/>
    <m/>
    <m/>
    <s v="YES"/>
    <m/>
    <m/>
    <s v="YES"/>
    <s v="YES"/>
    <m/>
    <s v="YES"/>
    <m/>
  </r>
  <r>
    <s v="Arun M U"/>
    <n v="7"/>
    <s v="5-7"/>
    <x v="5"/>
    <s v="USA"/>
    <m/>
    <s v="18+ mnths"/>
    <m/>
    <m/>
    <m/>
    <m/>
    <m/>
    <m/>
    <m/>
    <m/>
    <m/>
    <m/>
    <m/>
    <s v="18+ mnths"/>
    <m/>
    <m/>
    <m/>
    <m/>
    <m/>
    <s v="YES"/>
    <m/>
    <s v="YES"/>
    <m/>
    <m/>
    <m/>
    <m/>
    <m/>
  </r>
  <r>
    <s v="Chethan HS"/>
    <n v="8"/>
    <s v="3-5"/>
    <x v="5"/>
    <s v="USA"/>
    <m/>
    <s v="18+ mnths"/>
    <m/>
    <m/>
    <m/>
    <m/>
    <m/>
    <m/>
    <m/>
    <m/>
    <m/>
    <s v="18+ mnths"/>
    <s v="18+ mnths"/>
    <m/>
    <m/>
    <s v="YES"/>
    <s v="YES"/>
    <m/>
    <m/>
    <s v="YES"/>
    <m/>
    <s v="YES"/>
    <s v="YES"/>
    <s v="YES"/>
    <m/>
    <s v="YES"/>
    <m/>
  </r>
  <r>
    <s v="Harshitha K"/>
    <n v="8"/>
    <s v="3-5"/>
    <x v="9"/>
    <s v="UK"/>
    <m/>
    <s v="18+ mnths"/>
    <m/>
    <m/>
    <m/>
    <m/>
    <s v="18+ mnths"/>
    <m/>
    <s v="18+ mnths"/>
    <s v="18+ mnths"/>
    <m/>
    <m/>
    <s v="18+ mnths"/>
    <s v="18+ mnths"/>
    <s v="18+ mnths"/>
    <s v="YES"/>
    <m/>
    <m/>
    <m/>
    <s v="YES"/>
    <m/>
    <s v="YES"/>
    <m/>
    <m/>
    <m/>
    <m/>
    <m/>
  </r>
  <r>
    <s v="Kiran Doddagoudar"/>
    <n v="8"/>
    <s v="1.5 - 3"/>
    <x v="6"/>
    <s v="USA"/>
    <m/>
    <m/>
    <m/>
    <m/>
    <m/>
    <m/>
    <m/>
    <m/>
    <m/>
    <s v="18+ mnths"/>
    <m/>
    <s v="18+ mnths"/>
    <s v="18+ mnths"/>
    <m/>
    <m/>
    <m/>
    <m/>
    <m/>
    <m/>
    <m/>
    <m/>
    <m/>
    <s v="YES"/>
    <m/>
    <m/>
    <m/>
    <m/>
  </r>
  <r>
    <s v="Manasa BR"/>
    <n v="8"/>
    <s v="3-5"/>
    <x v="5"/>
    <s v="USA"/>
    <m/>
    <s v="18+ mnths"/>
    <s v="18+ mnths"/>
    <m/>
    <m/>
    <m/>
    <m/>
    <m/>
    <m/>
    <m/>
    <m/>
    <s v="18+ mnths"/>
    <m/>
    <m/>
    <m/>
    <s v="YES"/>
    <m/>
    <m/>
    <m/>
    <s v="YES"/>
    <m/>
    <s v="YES"/>
    <s v="YES"/>
    <m/>
    <m/>
    <m/>
    <m/>
  </r>
  <r>
    <s v="Prakash M"/>
    <n v="7"/>
    <s v="5-7"/>
    <x v="2"/>
    <s v="UK &amp; AUS"/>
    <m/>
    <s v="18+ mnths"/>
    <s v="18+ mnths"/>
    <m/>
    <m/>
    <m/>
    <m/>
    <m/>
    <s v="18+ mnths"/>
    <s v="18+ mnths"/>
    <m/>
    <s v="18+ mnths"/>
    <m/>
    <m/>
    <m/>
    <s v="YES"/>
    <m/>
    <m/>
    <m/>
    <s v="YES"/>
    <m/>
    <s v="YES"/>
    <m/>
    <m/>
    <m/>
    <m/>
    <m/>
  </r>
  <r>
    <s v="Ramya R C"/>
    <n v="8"/>
    <s v="5-7"/>
    <x v="6"/>
    <s v="USA"/>
    <m/>
    <s v="18+ mnths"/>
    <s v="18+ mnths"/>
    <m/>
    <m/>
    <m/>
    <m/>
    <m/>
    <m/>
    <m/>
    <m/>
    <s v="18+ mnths"/>
    <m/>
    <m/>
    <m/>
    <m/>
    <m/>
    <m/>
    <m/>
    <s v="YES"/>
    <m/>
    <s v="YES"/>
    <s v="YES"/>
    <m/>
    <m/>
    <s v="YES"/>
    <m/>
  </r>
  <r>
    <s v="Ranjitha R"/>
    <n v="7"/>
    <s v="10+"/>
    <x v="9"/>
    <s v="USA;UK"/>
    <m/>
    <s v="18+ mnths"/>
    <m/>
    <m/>
    <m/>
    <m/>
    <m/>
    <m/>
    <s v="18+ mnths"/>
    <m/>
    <m/>
    <m/>
    <m/>
    <m/>
    <m/>
    <m/>
    <m/>
    <m/>
    <m/>
    <m/>
    <m/>
    <m/>
    <m/>
    <m/>
    <m/>
    <m/>
    <m/>
  </r>
  <r>
    <s v="Rehana S"/>
    <n v="7"/>
    <s v="10+"/>
    <x v="6"/>
    <s v="UK"/>
    <m/>
    <s v="18+ mnths"/>
    <s v="6 - 18 mnths"/>
    <m/>
    <m/>
    <m/>
    <m/>
    <m/>
    <m/>
    <m/>
    <m/>
    <m/>
    <m/>
    <m/>
    <m/>
    <s v="YES"/>
    <m/>
    <m/>
    <m/>
    <m/>
    <m/>
    <s v="YES"/>
    <s v="YES"/>
    <s v="YES"/>
    <m/>
    <s v="YES"/>
    <m/>
  </r>
  <r>
    <s v="Sangeetha AN"/>
    <n v="8"/>
    <s v="1.5 - 3"/>
    <x v="6"/>
    <s v="USA"/>
    <m/>
    <m/>
    <m/>
    <m/>
    <m/>
    <m/>
    <m/>
    <m/>
    <m/>
    <m/>
    <s v="18+ mnths"/>
    <s v="18+ mnths"/>
    <m/>
    <m/>
    <m/>
    <m/>
    <m/>
    <m/>
    <s v="YES"/>
    <s v="YES"/>
    <m/>
    <s v="YES"/>
    <m/>
    <m/>
    <m/>
    <s v="YES"/>
    <m/>
  </r>
  <r>
    <s v="Vidyadhar Hiremath"/>
    <n v="8"/>
    <s v="3-5"/>
    <x v="5"/>
    <s v="USA"/>
    <s v="6 - 18 mnths"/>
    <s v="18+ mnths"/>
    <m/>
    <m/>
    <s v="6 - 18 mnths"/>
    <s v="6 - 18 mnths"/>
    <m/>
    <m/>
    <m/>
    <m/>
    <s v="18+ mnths"/>
    <s v="18+ mnths"/>
    <m/>
    <s v="6 - 18 mnths"/>
    <m/>
    <s v="YES"/>
    <m/>
    <s v="YES"/>
    <m/>
    <s v="YES"/>
    <m/>
    <s v="YES"/>
    <s v="YES"/>
    <m/>
    <s v="YES"/>
    <s v="YES"/>
    <m/>
  </r>
  <r>
    <s v="Ranjit Kumar Peddinti"/>
    <n v="6"/>
    <s v="10+"/>
    <x v="2"/>
    <s v="UK &amp; AU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YES"/>
    <s v="YES"/>
    <s v="YES"/>
    <s v="YES"/>
    <s v="YES"/>
    <s v="YES"/>
    <s v="YES"/>
    <s v="YES"/>
    <s v="YES"/>
    <m/>
    <s v="YES"/>
    <m/>
  </r>
  <r>
    <s v="Gaurav Sharma"/>
    <n v="6"/>
    <s v="10+"/>
    <x v="8"/>
    <s v="USA / UK / AUS / CAN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YES"/>
    <s v="YES"/>
    <s v="YES"/>
    <s v="YES"/>
    <s v="YES"/>
    <s v="YES"/>
    <s v="YES"/>
    <s v="YES"/>
    <s v="YES"/>
    <s v="YES"/>
    <s v="YES"/>
    <s v="AINS/IIA"/>
  </r>
  <r>
    <s v="Spandana S"/>
    <n v="8.1999999999999993"/>
    <s v="3-5"/>
    <x v="7"/>
    <s v="USA;Canada;"/>
    <m/>
    <m/>
    <m/>
    <m/>
    <m/>
    <m/>
    <m/>
    <m/>
    <m/>
    <s v="18+ mnths"/>
    <m/>
    <m/>
    <m/>
    <m/>
    <m/>
    <m/>
    <m/>
    <m/>
    <m/>
    <s v="YES"/>
    <m/>
    <m/>
    <s v="YES"/>
    <m/>
    <s v="YES"/>
    <m/>
    <m/>
  </r>
  <r>
    <s v="A Naveen Reddy"/>
    <n v="7"/>
    <s v="1.5 - 3"/>
    <x v="6"/>
    <s v="USA"/>
    <m/>
    <s v="6 - 18 mnths"/>
    <s v="18+ mnths"/>
    <m/>
    <s v="6 - 18 mnths"/>
    <m/>
    <m/>
    <m/>
    <m/>
    <m/>
    <s v="6 - 18 mnths"/>
    <s v="18+ mnths"/>
    <m/>
    <m/>
    <m/>
    <s v="YES"/>
    <m/>
    <m/>
    <m/>
    <s v="YES"/>
    <m/>
    <m/>
    <m/>
    <m/>
    <m/>
    <m/>
    <m/>
  </r>
  <r>
    <s v="Abhishek S Malgondkar"/>
    <n v="7"/>
    <s v="3-5"/>
    <x v="6"/>
    <s v="USA"/>
    <m/>
    <s v="18+ mnths"/>
    <m/>
    <m/>
    <s v="18+ mnths"/>
    <m/>
    <m/>
    <m/>
    <m/>
    <s v="18+ mnths"/>
    <m/>
    <m/>
    <m/>
    <m/>
    <m/>
    <m/>
    <m/>
    <m/>
    <m/>
    <s v="YES"/>
    <m/>
    <m/>
    <s v="YES"/>
    <m/>
    <s v="YES"/>
    <m/>
    <m/>
  </r>
  <r>
    <s v="Aishwarya B N"/>
    <n v="8.1"/>
    <s v="0.5 - 1.5"/>
    <x v="7"/>
    <s v="USA"/>
    <m/>
    <m/>
    <s v="0-6 mnths"/>
    <m/>
    <s v="6 - 18 mnths"/>
    <m/>
    <s v="6 - 18 mnths"/>
    <s v="6 - 18 mnths"/>
    <m/>
    <s v="6 - 18 mnths"/>
    <s v="6 - 18 mnths"/>
    <m/>
    <s v="0-6 mnths"/>
    <m/>
    <m/>
    <m/>
    <s v="YES"/>
    <m/>
    <m/>
    <s v="YES"/>
    <m/>
    <m/>
    <s v="YES"/>
    <s v="YES"/>
    <m/>
    <m/>
    <m/>
  </r>
  <r>
    <s v="Akshatha B"/>
    <n v="7"/>
    <s v="1.5 - 3"/>
    <x v="6"/>
    <s v="USA"/>
    <s v="0-6 mnths"/>
    <s v="0-6 mnths"/>
    <m/>
    <m/>
    <s v="6 - 18 mnths"/>
    <s v="18+ mnths"/>
    <s v="18+ mnths"/>
    <m/>
    <m/>
    <m/>
    <s v="6 - 18 mnths"/>
    <s v="18+ mnths"/>
    <m/>
    <m/>
    <m/>
    <s v="YES"/>
    <m/>
    <m/>
    <m/>
    <s v="YES"/>
    <m/>
    <m/>
    <m/>
    <m/>
    <m/>
    <m/>
    <m/>
  </r>
  <r>
    <s v="Alvin N J"/>
    <n v="7"/>
    <s v="3-5"/>
    <x v="5"/>
    <s v="USA"/>
    <m/>
    <s v="0-6 mnths"/>
    <m/>
    <m/>
    <m/>
    <m/>
    <m/>
    <m/>
    <m/>
    <s v="18+ mnths"/>
    <m/>
    <s v="18+ mnths"/>
    <m/>
    <m/>
    <m/>
    <m/>
    <m/>
    <s v="YES"/>
    <m/>
    <s v="YES"/>
    <m/>
    <m/>
    <s v="YES"/>
    <m/>
    <s v="YES"/>
    <m/>
    <m/>
  </r>
  <r>
    <s v="Anchal Kumari Vinod Baranwal"/>
    <n v="8.1999999999999993"/>
    <s v="5-7"/>
    <x v="2"/>
    <s v="USA"/>
    <s v="18+ mnths"/>
    <m/>
    <m/>
    <m/>
    <m/>
    <s v="6 - 18 mnths"/>
    <m/>
    <m/>
    <s v="18+ mnths"/>
    <m/>
    <s v="18+ mnths"/>
    <m/>
    <s v="18+ mnths"/>
    <s v="18+ mnths"/>
    <s v="18+ mnths"/>
    <m/>
    <s v="YES"/>
    <s v="YES"/>
    <m/>
    <s v="YES"/>
    <m/>
    <m/>
    <m/>
    <m/>
    <m/>
    <m/>
    <m/>
  </r>
  <r>
    <s v="Ansari Mohamed Meeran"/>
    <n v="8"/>
    <s v="3-5"/>
    <x v="5"/>
    <s v="USA"/>
    <m/>
    <m/>
    <m/>
    <m/>
    <m/>
    <m/>
    <m/>
    <m/>
    <s v="18+ mnths"/>
    <s v="6 - 18 mnths"/>
    <m/>
    <m/>
    <m/>
    <m/>
    <m/>
    <m/>
    <m/>
    <m/>
    <m/>
    <s v="YES"/>
    <m/>
    <m/>
    <s v="YES"/>
    <m/>
    <s v="YES"/>
    <s v="YES"/>
    <m/>
  </r>
  <r>
    <s v="Ariesh Karthick S"/>
    <n v="8"/>
    <s v="3-5"/>
    <x v="5"/>
    <s v="USA"/>
    <m/>
    <m/>
    <s v="6 - 18 mnths"/>
    <m/>
    <m/>
    <m/>
    <m/>
    <m/>
    <m/>
    <m/>
    <m/>
    <s v="6 - 18 mnths"/>
    <m/>
    <m/>
    <m/>
    <m/>
    <m/>
    <m/>
    <m/>
    <s v="YES"/>
    <m/>
    <m/>
    <m/>
    <m/>
    <m/>
    <m/>
    <m/>
  </r>
  <r>
    <s v="Arjun O"/>
    <n v="8"/>
    <s v="3-5"/>
    <x v="7"/>
    <s v="USA"/>
    <m/>
    <s v="18+ mnths"/>
    <m/>
    <m/>
    <m/>
    <m/>
    <m/>
    <m/>
    <s v="0-6 mnths"/>
    <m/>
    <m/>
    <m/>
    <m/>
    <m/>
    <m/>
    <m/>
    <m/>
    <m/>
    <m/>
    <m/>
    <m/>
    <m/>
    <m/>
    <m/>
    <m/>
    <m/>
    <m/>
  </r>
  <r>
    <s v="Arun C"/>
    <n v="7.1"/>
    <s v="10+"/>
    <x v="8"/>
    <s v="USA"/>
    <m/>
    <s v="0-6 mnths"/>
    <m/>
    <m/>
    <m/>
    <m/>
    <m/>
    <m/>
    <m/>
    <s v="18+ mnths"/>
    <m/>
    <s v="18+ mnths"/>
    <m/>
    <m/>
    <m/>
    <m/>
    <m/>
    <s v="YES"/>
    <m/>
    <m/>
    <m/>
    <m/>
    <s v="YES"/>
    <s v="YES"/>
    <s v="YES"/>
    <m/>
    <m/>
  </r>
  <r>
    <s v="Ashish K Shyam"/>
    <n v="7"/>
    <s v="1.5 - 3"/>
    <x v="6"/>
    <s v="USA"/>
    <m/>
    <s v="6 - 18 mnths"/>
    <m/>
    <m/>
    <m/>
    <m/>
    <m/>
    <m/>
    <s v="0-6 mnths"/>
    <m/>
    <m/>
    <s v="6 - 18 mnths"/>
    <m/>
    <m/>
    <m/>
    <m/>
    <m/>
    <m/>
    <m/>
    <s v="YES"/>
    <m/>
    <m/>
    <s v="YES"/>
    <m/>
    <m/>
    <m/>
    <m/>
  </r>
  <r>
    <s v="Aswathi P K"/>
    <n v="8"/>
    <s v="3-5"/>
    <x v="5"/>
    <s v="USA"/>
    <m/>
    <m/>
    <m/>
    <m/>
    <s v="18+ mnths"/>
    <s v="18+ mnths"/>
    <m/>
    <s v="6 - 18 mnths"/>
    <s v="6 - 18 mnths"/>
    <m/>
    <m/>
    <s v="0-6 mnths"/>
    <m/>
    <m/>
    <m/>
    <m/>
    <m/>
    <m/>
    <m/>
    <s v="YES"/>
    <m/>
    <m/>
    <s v="YES"/>
    <m/>
    <m/>
    <m/>
    <m/>
  </r>
  <r>
    <s v="Bangi Afnan Malick"/>
    <n v="7"/>
    <s v="3-5"/>
    <x v="7"/>
    <s v="USA"/>
    <m/>
    <s v="6 - 18 mnths"/>
    <m/>
    <m/>
    <s v="6 - 18 mnths"/>
    <m/>
    <m/>
    <m/>
    <s v="0-6 mnths"/>
    <m/>
    <s v="6 - 18 mnths"/>
    <s v="18+ mnths"/>
    <m/>
    <m/>
    <m/>
    <s v="YES"/>
    <m/>
    <m/>
    <m/>
    <m/>
    <m/>
    <m/>
    <s v="YES"/>
    <m/>
    <m/>
    <s v="YES"/>
    <m/>
  </r>
  <r>
    <s v="BRUNDA N"/>
    <n v="8"/>
    <s v="3-5"/>
    <x v="5"/>
    <s v="USA"/>
    <m/>
    <s v="18+ mnths"/>
    <m/>
    <m/>
    <s v="18+ mnths"/>
    <m/>
    <m/>
    <m/>
    <m/>
    <s v="18+ mnths"/>
    <s v="18+ mnths"/>
    <s v="18+ mnths"/>
    <m/>
    <m/>
    <m/>
    <m/>
    <m/>
    <m/>
    <s v="YES"/>
    <s v="YES"/>
    <m/>
    <m/>
    <s v="YES"/>
    <m/>
    <s v="YES"/>
    <s v="YES"/>
    <m/>
  </r>
  <r>
    <s v="Chandrashekara T"/>
    <n v="8.1"/>
    <s v="1.5 - 3"/>
    <x v="6"/>
    <s v="USA"/>
    <m/>
    <s v="6 - 18 mnths"/>
    <s v="0-6 mnths"/>
    <m/>
    <m/>
    <m/>
    <m/>
    <m/>
    <s v="0-6 mnths"/>
    <m/>
    <m/>
    <s v="0-6 mnths"/>
    <m/>
    <m/>
    <m/>
    <m/>
    <s v="YES"/>
    <m/>
    <m/>
    <s v="YES"/>
    <m/>
    <m/>
    <s v="YES"/>
    <s v="YES"/>
    <s v="YES"/>
    <s v="YES"/>
    <m/>
  </r>
  <r>
    <s v="Chithra S M"/>
    <n v="8"/>
    <s v="1.5 - 3"/>
    <x v="6"/>
    <s v="USA"/>
    <m/>
    <s v="18+ mnths"/>
    <s v="6 - 18 mnths"/>
    <m/>
    <m/>
    <m/>
    <m/>
    <m/>
    <m/>
    <m/>
    <s v="0-6 mnths"/>
    <s v="6 - 18 mnths"/>
    <m/>
    <m/>
    <m/>
    <s v="YES"/>
    <m/>
    <m/>
    <m/>
    <s v="YES"/>
    <m/>
    <m/>
    <s v="YES"/>
    <s v="YES"/>
    <m/>
    <m/>
    <m/>
  </r>
  <r>
    <s v="Chowdanna Gari Nagarjuna"/>
    <n v="7"/>
    <s v="3-5"/>
    <x v="5"/>
    <s v="USA"/>
    <m/>
    <m/>
    <m/>
    <m/>
    <m/>
    <m/>
    <m/>
    <m/>
    <m/>
    <m/>
    <m/>
    <s v="18+ mnths"/>
    <m/>
    <m/>
    <m/>
    <m/>
    <m/>
    <m/>
    <m/>
    <s v="YES"/>
    <m/>
    <m/>
    <m/>
    <m/>
    <m/>
    <m/>
    <m/>
  </r>
  <r>
    <s v="Darshan G"/>
    <n v="7"/>
    <s v="1.5 - 3"/>
    <x v="6"/>
    <s v="USA"/>
    <m/>
    <s v="6 - 18 mnths"/>
    <s v="18+ mnths"/>
    <m/>
    <s v="6 - 18 mnths"/>
    <m/>
    <m/>
    <m/>
    <m/>
    <m/>
    <s v="6 - 18 mnths"/>
    <s v="18+ mnths"/>
    <m/>
    <m/>
    <m/>
    <s v="YES"/>
    <m/>
    <m/>
    <m/>
    <s v="YES"/>
    <m/>
    <m/>
    <m/>
    <m/>
    <m/>
    <m/>
    <m/>
  </r>
  <r>
    <s v="Darshan J"/>
    <n v="7"/>
    <s v="0.5 - 1.5"/>
    <x v="7"/>
    <s v="USA;Canada;"/>
    <s v="6 - 18 mnths"/>
    <m/>
    <m/>
    <m/>
    <m/>
    <m/>
    <m/>
    <m/>
    <s v="0-6 mnths"/>
    <m/>
    <s v="0-6 mnths"/>
    <s v="6 - 18 mnths"/>
    <s v="0-6 mnths"/>
    <m/>
    <m/>
    <m/>
    <m/>
    <m/>
    <m/>
    <m/>
    <m/>
    <m/>
    <s v="YES"/>
    <m/>
    <m/>
    <m/>
    <m/>
  </r>
  <r>
    <s v="Divakar R"/>
    <n v="8.1"/>
    <s v="1.5 - 3"/>
    <x v="6"/>
    <s v="Other;"/>
    <m/>
    <m/>
    <m/>
    <m/>
    <m/>
    <m/>
    <m/>
    <m/>
    <m/>
    <m/>
    <m/>
    <m/>
    <m/>
    <m/>
    <m/>
    <m/>
    <m/>
    <m/>
    <m/>
    <s v="YES"/>
    <m/>
    <m/>
    <s v="YES"/>
    <m/>
    <m/>
    <m/>
    <m/>
  </r>
  <r>
    <s v="Durgesh Gowda K"/>
    <n v="7"/>
    <s v="1.5 - 3"/>
    <x v="7"/>
    <s v="USA"/>
    <m/>
    <s v="18+ mnths"/>
    <m/>
    <m/>
    <m/>
    <m/>
    <m/>
    <m/>
    <m/>
    <s v="6 - 18 mnths"/>
    <m/>
    <s v="18+ mnths"/>
    <m/>
    <m/>
    <m/>
    <m/>
    <m/>
    <m/>
    <m/>
    <s v="YES"/>
    <m/>
    <m/>
    <s v="YES"/>
    <m/>
    <m/>
    <m/>
    <m/>
  </r>
  <r>
    <s v="Geriga Janaki Ramudu"/>
    <n v="8.1"/>
    <s v="3-5"/>
    <x v="5"/>
    <s v="USA"/>
    <m/>
    <s v="6 - 18 mnths"/>
    <s v="18+ mnths"/>
    <m/>
    <s v="6 - 18 mnths"/>
    <m/>
    <m/>
    <m/>
    <m/>
    <s v="6 - 18 mnths"/>
    <m/>
    <s v="6 - 18 mnths"/>
    <m/>
    <m/>
    <m/>
    <s v="YES"/>
    <s v="YES"/>
    <m/>
    <m/>
    <s v="YES"/>
    <m/>
    <m/>
    <s v="YES"/>
    <s v="YES"/>
    <m/>
    <m/>
    <m/>
  </r>
  <r>
    <s v="Govardhan S"/>
    <n v="8.1"/>
    <s v="1.5 - 3"/>
    <x v="6"/>
    <s v="USA"/>
    <s v="6 - 18 mnths"/>
    <s v="6 - 18 mnths"/>
    <m/>
    <m/>
    <m/>
    <m/>
    <m/>
    <s v="6 - 18 mnths"/>
    <m/>
    <m/>
    <s v="6 - 18 mnths"/>
    <s v="6 - 18 mnths"/>
    <m/>
    <m/>
    <m/>
    <m/>
    <m/>
    <m/>
    <m/>
    <s v="YES"/>
    <m/>
    <m/>
    <m/>
    <s v="YES"/>
    <m/>
    <m/>
    <m/>
  </r>
  <r>
    <s v="Immanuel kirubai das"/>
    <n v="8.1"/>
    <s v="10+"/>
    <x v="8"/>
    <s v="USA;Canada;"/>
    <m/>
    <s v="0-6 mnths"/>
    <m/>
    <m/>
    <s v="0-6 mnths"/>
    <m/>
    <m/>
    <m/>
    <m/>
    <s v="18+ mnths"/>
    <m/>
    <s v="0-6 mnths"/>
    <m/>
    <m/>
    <m/>
    <m/>
    <m/>
    <m/>
    <s v="YES"/>
    <s v="YES"/>
    <m/>
    <m/>
    <s v="YES"/>
    <m/>
    <m/>
    <m/>
    <m/>
  </r>
  <r>
    <s v="K Mohammed Awan"/>
    <n v="7"/>
    <s v="1.5 - 3"/>
    <x v="6"/>
    <s v="USA"/>
    <m/>
    <s v="6 - 18 mnths"/>
    <m/>
    <m/>
    <s v="6 - 18 mnths"/>
    <s v="6 - 18 mnths"/>
    <m/>
    <m/>
    <s v="18+ mnths"/>
    <m/>
    <m/>
    <m/>
    <m/>
    <m/>
    <m/>
    <s v="YES"/>
    <m/>
    <m/>
    <s v="YES"/>
    <s v="YES"/>
    <m/>
    <m/>
    <s v="YES"/>
    <s v="YES"/>
    <m/>
    <s v="YES"/>
    <m/>
  </r>
  <r>
    <s v="K S Punith Kumar"/>
    <n v="8.1"/>
    <s v="5-7"/>
    <x v="6"/>
    <s v="USA"/>
    <m/>
    <s v="6 - 18 mnths"/>
    <m/>
    <m/>
    <m/>
    <m/>
    <m/>
    <m/>
    <m/>
    <s v="18+ mnths"/>
    <m/>
    <m/>
    <m/>
    <m/>
    <m/>
    <m/>
    <m/>
    <m/>
    <m/>
    <m/>
    <m/>
    <m/>
    <s v="YES"/>
    <m/>
    <s v="YES"/>
    <m/>
    <m/>
  </r>
  <r>
    <s v="Kandurparthi Chinnappa Gari Ashok Reddy"/>
    <n v="7"/>
    <s v="1.5 - 3"/>
    <x v="6"/>
    <s v="USA"/>
    <m/>
    <m/>
    <m/>
    <m/>
    <m/>
    <m/>
    <m/>
    <m/>
    <m/>
    <s v="18+ mnths"/>
    <m/>
    <m/>
    <m/>
    <m/>
    <m/>
    <m/>
    <m/>
    <m/>
    <m/>
    <s v="YES"/>
    <m/>
    <m/>
    <s v="YES"/>
    <m/>
    <s v="YES"/>
    <m/>
    <m/>
  </r>
  <r>
    <s v="Kanti Nikhil Kumar"/>
    <n v="8"/>
    <s v="1.5 - 3"/>
    <x v="6"/>
    <s v="USA"/>
    <m/>
    <m/>
    <s v="6 - 18 mnths"/>
    <m/>
    <m/>
    <m/>
    <m/>
    <m/>
    <m/>
    <m/>
    <m/>
    <s v="18+ mnths"/>
    <m/>
    <m/>
    <m/>
    <m/>
    <m/>
    <m/>
    <m/>
    <s v="YES"/>
    <m/>
    <m/>
    <m/>
    <m/>
    <m/>
    <m/>
    <m/>
  </r>
  <r>
    <s v="Kirankumar K V"/>
    <n v="8.1"/>
    <s v="3-5"/>
    <x v="5"/>
    <s v="USA"/>
    <m/>
    <s v="6 - 18 mnths"/>
    <m/>
    <m/>
    <s v="18+ mnths"/>
    <m/>
    <m/>
    <m/>
    <m/>
    <m/>
    <m/>
    <s v="0-6 mnths"/>
    <m/>
    <m/>
    <m/>
    <m/>
    <m/>
    <m/>
    <m/>
    <s v="YES"/>
    <m/>
    <m/>
    <s v="YES"/>
    <m/>
    <m/>
    <m/>
    <m/>
  </r>
  <r>
    <s v="Kotekal Mohammed Jayeed"/>
    <n v="8.1"/>
    <s v="1.5 - 3"/>
    <x v="6"/>
    <s v="USA"/>
    <m/>
    <m/>
    <s v="6 - 18 mnths"/>
    <m/>
    <m/>
    <m/>
    <m/>
    <m/>
    <s v="0-6 mnths"/>
    <s v="18+ mnths"/>
    <m/>
    <m/>
    <m/>
    <m/>
    <m/>
    <m/>
    <m/>
    <m/>
    <m/>
    <s v="YES"/>
    <m/>
    <m/>
    <s v="YES"/>
    <s v="YES"/>
    <m/>
    <s v="YES"/>
    <m/>
  </r>
  <r>
    <s v="Likith K"/>
    <n v="8.1"/>
    <s v="1.5 - 3"/>
    <x v="6"/>
    <s v="Other;"/>
    <m/>
    <m/>
    <s v="6 - 18 mnths"/>
    <m/>
    <s v="18+ mnths"/>
    <s v="18+ mnths"/>
    <m/>
    <m/>
    <m/>
    <m/>
    <m/>
    <s v="18+ mnths"/>
    <m/>
    <m/>
    <m/>
    <s v="YES"/>
    <m/>
    <m/>
    <m/>
    <s v="YES"/>
    <m/>
    <m/>
    <s v="YES"/>
    <m/>
    <m/>
    <s v="YES"/>
    <m/>
  </r>
  <r>
    <s v="Mandara K"/>
    <n v="8.1999999999999993"/>
    <s v="3-5"/>
    <x v="5"/>
    <s v="USA"/>
    <m/>
    <m/>
    <m/>
    <m/>
    <m/>
    <m/>
    <m/>
    <m/>
    <m/>
    <s v="18+ mnths"/>
    <m/>
    <s v="6 - 18 mnths"/>
    <m/>
    <m/>
    <m/>
    <s v="YES"/>
    <s v="YES"/>
    <m/>
    <m/>
    <s v="YES"/>
    <m/>
    <m/>
    <s v="YES"/>
    <m/>
    <s v="YES"/>
    <m/>
    <m/>
  </r>
  <r>
    <s v="Manjunath Ghatage"/>
    <n v="8.1"/>
    <s v="1.5 - 3"/>
    <x v="6"/>
    <s v="USA"/>
    <s v="0-6 mnths"/>
    <m/>
    <m/>
    <m/>
    <s v="0-6 mnths"/>
    <m/>
    <s v="0-6 mnths"/>
    <m/>
    <m/>
    <m/>
    <m/>
    <m/>
    <m/>
    <m/>
    <m/>
    <s v="YES"/>
    <m/>
    <m/>
    <m/>
    <m/>
    <m/>
    <m/>
    <s v="YES"/>
    <s v="YES"/>
    <m/>
    <s v="YES"/>
    <m/>
  </r>
  <r>
    <s v="Mithun B"/>
    <n v="8.1"/>
    <s v="3-5"/>
    <x v="6"/>
    <s v="USA;Canada;"/>
    <m/>
    <m/>
    <m/>
    <m/>
    <m/>
    <m/>
    <m/>
    <m/>
    <s v="6 - 18 mnths"/>
    <m/>
    <m/>
    <m/>
    <m/>
    <m/>
    <m/>
    <m/>
    <s v="YES"/>
    <s v="YES"/>
    <m/>
    <s v="YES"/>
    <m/>
    <m/>
    <m/>
    <m/>
    <m/>
    <s v="YES"/>
    <m/>
  </r>
  <r>
    <s v="Muniraju N"/>
    <n v="8.1"/>
    <s v="3-5"/>
    <x v="5"/>
    <s v="USA;UK"/>
    <s v="0-6 mnths"/>
    <s v="18+ mnths"/>
    <s v="6 - 18 mnths"/>
    <s v="6 - 18 mnths"/>
    <s v="18+ mnths"/>
    <s v="18+ mnths"/>
    <s v="18+ mnths"/>
    <s v="18+ mnths"/>
    <s v="18+ mnths"/>
    <s v="18+ mnths"/>
    <s v="18+ mnths"/>
    <s v="18+ mnths"/>
    <s v="18+ mnths"/>
    <s v="18+ mnths"/>
    <s v="6 - 18 mnths"/>
    <s v="YES"/>
    <s v="YES"/>
    <s v="YES"/>
    <s v="YES"/>
    <s v="YES"/>
    <m/>
    <m/>
    <s v="YES"/>
    <m/>
    <m/>
    <m/>
    <m/>
  </r>
  <r>
    <s v="Narayan A Deshpande"/>
    <n v="8.1"/>
    <s v="3-5"/>
    <x v="5"/>
    <s v="USA"/>
    <m/>
    <s v="18+ mnths"/>
    <m/>
    <m/>
    <s v="18+ mnths"/>
    <s v="18+ mnths"/>
    <s v="18+ mnths"/>
    <s v="18+ mnths"/>
    <m/>
    <m/>
    <s v="18+ mnths"/>
    <m/>
    <m/>
    <m/>
    <m/>
    <m/>
    <s v="YES"/>
    <m/>
    <s v="YES"/>
    <s v="YES"/>
    <m/>
    <m/>
    <s v="YES"/>
    <s v="YES"/>
    <s v="YES"/>
    <s v="YES"/>
    <m/>
  </r>
  <r>
    <s v="Naveen K R S"/>
    <n v="8.1"/>
    <s v="3-5"/>
    <x v="6"/>
    <s v="USA"/>
    <s v="0-6 mnths"/>
    <s v="0-6 mnths"/>
    <m/>
    <m/>
    <s v="0-6 mnths"/>
    <s v="0-6 mnths"/>
    <s v="0-6 mnths"/>
    <m/>
    <m/>
    <s v="6 - 18 mnths"/>
    <s v="6 - 18 mnths"/>
    <s v="0-6 mnths"/>
    <m/>
    <m/>
    <m/>
    <m/>
    <m/>
    <m/>
    <s v="YES"/>
    <s v="YES"/>
    <m/>
    <m/>
    <s v="YES"/>
    <s v="YES"/>
    <m/>
    <s v="YES"/>
    <m/>
  </r>
  <r>
    <s v="Naveen Kumar K"/>
    <n v="8.1"/>
    <s v="1.5 - 3"/>
    <x v="6"/>
    <s v="USA"/>
    <m/>
    <s v="0-6 mnths"/>
    <m/>
    <m/>
    <m/>
    <m/>
    <m/>
    <m/>
    <m/>
    <s v="6 - 18 mnths"/>
    <m/>
    <m/>
    <m/>
    <m/>
    <m/>
    <m/>
    <s v="YES"/>
    <m/>
    <m/>
    <s v="YES"/>
    <m/>
    <m/>
    <s v="YES"/>
    <s v="YES"/>
    <s v="YES"/>
    <s v="YES"/>
    <m/>
  </r>
  <r>
    <s v="Nihal N Suvarna"/>
    <n v="8.1"/>
    <s v="3-5"/>
    <x v="5"/>
    <s v="USA"/>
    <s v="6 - 18 mnths"/>
    <s v="18+ mnths"/>
    <s v="0-6 mnths"/>
    <m/>
    <s v="18+ mnths"/>
    <s v="0-6 mnths"/>
    <m/>
    <s v="18+ mnths"/>
    <s v="18+ mnths"/>
    <s v="18+ mnths"/>
    <s v="0-6 mnths"/>
    <s v="18+ mnths"/>
    <s v="0-6 mnths"/>
    <s v="0-6 mnths"/>
    <m/>
    <s v="YES"/>
    <m/>
    <m/>
    <m/>
    <s v="YES"/>
    <m/>
    <m/>
    <s v="YES"/>
    <m/>
    <m/>
    <m/>
    <m/>
  </r>
  <r>
    <s v="Nikki N"/>
    <n v="8.1"/>
    <s v="1.5 - 3"/>
    <x v="6"/>
    <s v="USA"/>
    <s v="6 - 18 mnths"/>
    <s v="0-6 mnths"/>
    <s v="0-6 mnths"/>
    <m/>
    <m/>
    <m/>
    <m/>
    <s v="0-6 mnths"/>
    <s v="6 - 18 mnths"/>
    <s v="0-6 mnths"/>
    <s v="0-6 mnths"/>
    <m/>
    <m/>
    <m/>
    <m/>
    <m/>
    <s v="YES"/>
    <m/>
    <m/>
    <s v="YES"/>
    <m/>
    <m/>
    <s v="YES"/>
    <m/>
    <m/>
    <m/>
    <m/>
  </r>
  <r>
    <s v="Poornima Naik"/>
    <n v="8.1"/>
    <s v="1.5 - 3"/>
    <x v="6"/>
    <s v="USA"/>
    <s v="0-6 mnths"/>
    <s v="6 - 18 mnths"/>
    <s v="0-6 mnths"/>
    <m/>
    <m/>
    <m/>
    <s v="0-6 mnths"/>
    <s v="0-6 mnths"/>
    <m/>
    <s v="6 - 18 mnths"/>
    <s v="6 - 18 mnths"/>
    <s v="6 - 18 mnths"/>
    <s v="0-6 mnths"/>
    <s v="0-6 mnths"/>
    <s v="0-6 mnths"/>
    <s v="YES"/>
    <s v="YES"/>
    <m/>
    <m/>
    <s v="YES"/>
    <m/>
    <m/>
    <s v="YES"/>
    <s v="YES"/>
    <s v="YES"/>
    <s v="YES"/>
    <m/>
  </r>
  <r>
    <s v="Poorvika S G"/>
    <n v="8.1"/>
    <s v="3-5"/>
    <x v="6"/>
    <s v="USA"/>
    <s v="6 - 18 mnths"/>
    <s v="0-6 mnths"/>
    <s v="0-6 mnths"/>
    <m/>
    <m/>
    <m/>
    <m/>
    <s v="0-6 mnths"/>
    <s v="6 - 18 mnths"/>
    <s v="0-6 mnths"/>
    <s v="0-6 mnths"/>
    <m/>
    <m/>
    <m/>
    <m/>
    <m/>
    <s v="YES"/>
    <m/>
    <m/>
    <s v="YES"/>
    <m/>
    <m/>
    <s v="YES"/>
    <s v="YES"/>
    <m/>
    <s v="YES"/>
    <m/>
  </r>
  <r>
    <s v="Pradeepa R"/>
    <n v="8.1999999999999993"/>
    <s v="5-7"/>
    <x v="2"/>
    <s v="USA"/>
    <s v="18+ mnths"/>
    <s v="18+ mnths"/>
    <m/>
    <m/>
    <s v="18+ mnths"/>
    <m/>
    <m/>
    <m/>
    <m/>
    <s v="18+ mnths"/>
    <s v="18+ mnths"/>
    <s v="18+ mnths"/>
    <m/>
    <m/>
    <m/>
    <m/>
    <s v="YES"/>
    <s v="YES"/>
    <s v="YES"/>
    <s v="YES"/>
    <s v="Yellow Belt;"/>
    <m/>
    <s v="YES"/>
    <s v="YES"/>
    <s v="YES"/>
    <m/>
    <m/>
  </r>
  <r>
    <s v="Pragathi C H"/>
    <n v="8.1"/>
    <s v="3-5"/>
    <x v="6"/>
    <s v="USA"/>
    <s v="6 - 18 mnths"/>
    <s v="0-6 mnths"/>
    <m/>
    <s v="0-6 mnths"/>
    <s v="0-6 mnths"/>
    <s v="6 - 18 mnths"/>
    <s v="0-6 mnths"/>
    <s v="18+ mnths"/>
    <s v="6 - 18 mnths"/>
    <s v="0-6 mnths"/>
    <m/>
    <s v="0-6 mnths"/>
    <s v="0-6 mnths"/>
    <m/>
    <m/>
    <s v="YES"/>
    <m/>
    <m/>
    <m/>
    <s v="YES"/>
    <s v="Yellow Belt;"/>
    <m/>
    <s v="YES"/>
    <m/>
    <m/>
    <m/>
    <m/>
  </r>
  <r>
    <s v="Prajwal D"/>
    <n v="8.1"/>
    <s v="1.5 - 3"/>
    <x v="6"/>
    <s v="USA"/>
    <s v="18+ mnths"/>
    <m/>
    <m/>
    <m/>
    <m/>
    <m/>
    <m/>
    <s v="0-6 mnths"/>
    <m/>
    <m/>
    <s v="18+ mnths"/>
    <s v="18+ mnths"/>
    <m/>
    <m/>
    <m/>
    <s v="YES"/>
    <s v="YES"/>
    <m/>
    <m/>
    <s v="YES"/>
    <m/>
    <m/>
    <s v="YES"/>
    <s v="YES"/>
    <m/>
    <m/>
    <m/>
  </r>
  <r>
    <s v="Prathima Muttukuru"/>
    <n v="8.1"/>
    <s v="1.5 - 3"/>
    <x v="6"/>
    <s v="APAC;"/>
    <m/>
    <m/>
    <m/>
    <m/>
    <m/>
    <m/>
    <m/>
    <s v="0-6 mnths"/>
    <s v="18+ mnths"/>
    <m/>
    <s v="0-6 mnths"/>
    <s v="0-6 mnths"/>
    <s v="6 - 18 mnths"/>
    <s v="6 - 18 mnths"/>
    <m/>
    <s v="YES"/>
    <s v="YES"/>
    <m/>
    <m/>
    <m/>
    <m/>
    <m/>
    <m/>
    <m/>
    <m/>
    <m/>
    <m/>
  </r>
  <r>
    <s v="Pulapalli Bharath Kumar"/>
    <n v="8.1"/>
    <s v="0.5 - 1.5"/>
    <x v="7"/>
    <s v="USA"/>
    <m/>
    <s v="6 - 18 mnths"/>
    <s v="6 - 18 mnths"/>
    <m/>
    <m/>
    <m/>
    <m/>
    <m/>
    <m/>
    <m/>
    <m/>
    <m/>
    <m/>
    <m/>
    <m/>
    <m/>
    <s v="YES"/>
    <m/>
    <m/>
    <s v="YES"/>
    <m/>
    <m/>
    <m/>
    <m/>
    <m/>
    <m/>
    <m/>
  </r>
  <r>
    <s v="R Rama Krishna"/>
    <n v="8.1"/>
    <s v="1.5 - 3"/>
    <x v="6"/>
    <s v="USA"/>
    <s v="0-6 mnths"/>
    <s v="0-6 mnths"/>
    <m/>
    <m/>
    <m/>
    <m/>
    <m/>
    <m/>
    <m/>
    <s v="0-6 mnths"/>
    <m/>
    <s v="0-6 mnths"/>
    <m/>
    <m/>
    <m/>
    <m/>
    <s v="YES"/>
    <m/>
    <s v="YES"/>
    <s v="YES"/>
    <m/>
    <m/>
    <s v="YES"/>
    <s v="YES"/>
    <s v="YES"/>
    <s v="YES"/>
    <m/>
  </r>
  <r>
    <s v="Rahul Rao S J"/>
    <n v="8.1"/>
    <s v="1.5 - 3"/>
    <x v="7"/>
    <s v="USA"/>
    <m/>
    <m/>
    <m/>
    <m/>
    <m/>
    <s v="0-6 mnths"/>
    <m/>
    <m/>
    <m/>
    <m/>
    <m/>
    <s v="0-6 mnths"/>
    <m/>
    <m/>
    <m/>
    <m/>
    <s v="YES"/>
    <m/>
    <m/>
    <s v="YES"/>
    <m/>
    <m/>
    <s v="YES"/>
    <m/>
    <m/>
    <m/>
    <m/>
  </r>
  <r>
    <s v="Rajath SK"/>
    <n v="8.1"/>
    <s v="3-5"/>
    <x v="6"/>
    <s v="USA"/>
    <m/>
    <m/>
    <m/>
    <m/>
    <m/>
    <m/>
    <m/>
    <m/>
    <m/>
    <m/>
    <m/>
    <m/>
    <m/>
    <m/>
    <m/>
    <m/>
    <s v="YES"/>
    <s v="YES"/>
    <m/>
    <m/>
    <m/>
    <m/>
    <s v="YES"/>
    <m/>
    <m/>
    <m/>
    <m/>
  </r>
  <r>
    <s v="Rakesh N"/>
    <n v="8.1"/>
    <s v="1.5 - 3"/>
    <x v="6"/>
    <s v="USA"/>
    <m/>
    <m/>
    <s v="0-6 mnths"/>
    <m/>
    <s v="6 - 18 mnths"/>
    <m/>
    <s v="0-6 mnths"/>
    <s v="6 - 18 mnths"/>
    <s v="18+ mnths"/>
    <m/>
    <s v="0-6 mnths"/>
    <s v="0-6 mnths"/>
    <m/>
    <m/>
    <m/>
    <m/>
    <m/>
    <s v="YES"/>
    <s v="YES"/>
    <s v="YES"/>
    <m/>
    <m/>
    <s v="YES"/>
    <m/>
    <m/>
    <m/>
    <m/>
  </r>
  <r>
    <s v="Ranjitha M"/>
    <n v="8.1999999999999993"/>
    <s v="3-5"/>
    <x v="5"/>
    <s v="USA"/>
    <m/>
    <s v="18+ mnths"/>
    <s v="18+ mnths"/>
    <m/>
    <s v="18+ mnths"/>
    <m/>
    <m/>
    <m/>
    <m/>
    <m/>
    <s v="0-6 mnths"/>
    <s v="18+ mnths"/>
    <s v="18+ mnths"/>
    <s v="18+ mnths"/>
    <s v="18+ mnths"/>
    <m/>
    <s v="YES"/>
    <m/>
    <m/>
    <s v="YES"/>
    <m/>
    <m/>
    <s v="YES"/>
    <s v="YES"/>
    <s v="YES"/>
    <s v="YES"/>
    <m/>
  </r>
  <r>
    <s v="Sachin S"/>
    <n v="8.1999999999999993"/>
    <s v="5-7"/>
    <x v="2"/>
    <s v="USA"/>
    <s v="18+ mnths"/>
    <s v="18+ mnths"/>
    <m/>
    <m/>
    <s v="18+ mnths"/>
    <m/>
    <m/>
    <m/>
    <m/>
    <s v="18+ mnths"/>
    <s v="18+ mnths"/>
    <s v="18+ mnths"/>
    <m/>
    <m/>
    <m/>
    <m/>
    <s v="YES"/>
    <s v="YES"/>
    <s v="YES"/>
    <s v="YES"/>
    <s v="Yellow Belt;"/>
    <m/>
    <s v="YES"/>
    <s v="YES"/>
    <s v="YES"/>
    <m/>
    <m/>
  </r>
  <r>
    <s v="Sangeetha Parappa Shirasangi"/>
    <n v="8.1999999999999993"/>
    <s v="1.5 - 3"/>
    <x v="6"/>
    <s v="USA"/>
    <m/>
    <s v="6 - 18 mnths"/>
    <s v="18+ mnths"/>
    <m/>
    <m/>
    <m/>
    <m/>
    <m/>
    <m/>
    <m/>
    <m/>
    <m/>
    <m/>
    <m/>
    <m/>
    <m/>
    <s v="YES"/>
    <m/>
    <m/>
    <m/>
    <m/>
    <m/>
    <s v="YES"/>
    <m/>
    <m/>
    <m/>
    <m/>
  </r>
  <r>
    <s v="Satish C"/>
    <n v="8.1"/>
    <s v="3-5"/>
    <x v="5"/>
    <s v="USA"/>
    <m/>
    <s v="6 - 18 mnths"/>
    <m/>
    <m/>
    <m/>
    <m/>
    <m/>
    <m/>
    <m/>
    <s v="18+ mnths"/>
    <m/>
    <s v="6 - 18 mnths"/>
    <m/>
    <m/>
    <m/>
    <m/>
    <m/>
    <s v="YES"/>
    <m/>
    <m/>
    <m/>
    <m/>
    <s v="YES"/>
    <m/>
    <s v="YES"/>
    <m/>
    <m/>
  </r>
  <r>
    <s v="SHARATH K V"/>
    <n v="8.1"/>
    <s v="1.5 - 3"/>
    <x v="7"/>
    <s v="USA"/>
    <s v="6 - 18 mnths"/>
    <m/>
    <s v="18+ mnths"/>
    <m/>
    <m/>
    <m/>
    <s v="0-6 mnths"/>
    <m/>
    <m/>
    <s v="0-6 mnths"/>
    <s v="0-6 mnths"/>
    <m/>
    <m/>
    <m/>
    <m/>
    <m/>
    <s v="YES"/>
    <m/>
    <s v="YES"/>
    <s v="YES"/>
    <m/>
    <m/>
    <m/>
    <m/>
    <m/>
    <m/>
    <m/>
  </r>
  <r>
    <s v="Shripada N"/>
    <n v="8.1"/>
    <s v="1.5 - 3"/>
    <x v="6"/>
    <s v="USA"/>
    <m/>
    <s v="18+ mnths"/>
    <m/>
    <m/>
    <s v="18+ mnths"/>
    <m/>
    <m/>
    <m/>
    <m/>
    <s v="18+ mnths"/>
    <m/>
    <s v="18+ mnths"/>
    <m/>
    <m/>
    <m/>
    <m/>
    <m/>
    <m/>
    <m/>
    <s v="YES"/>
    <m/>
    <m/>
    <s v="YES"/>
    <m/>
    <m/>
    <m/>
    <m/>
  </r>
  <r>
    <s v="Siddartha S"/>
    <n v="8.1999999999999993"/>
    <s v="7-8"/>
    <x v="5"/>
    <s v="USA"/>
    <m/>
    <m/>
    <m/>
    <m/>
    <m/>
    <m/>
    <m/>
    <m/>
    <m/>
    <s v="18+ mnths"/>
    <m/>
    <s v="18+ mnths"/>
    <m/>
    <m/>
    <m/>
    <m/>
    <m/>
    <s v="YES"/>
    <m/>
    <s v="YES"/>
    <m/>
    <m/>
    <s v="YES"/>
    <m/>
    <s v="YES"/>
    <m/>
    <m/>
  </r>
  <r>
    <s v="Sowjanya H Y"/>
    <n v="8.1"/>
    <s v="1.5 - 3"/>
    <x v="6"/>
    <s v="USA"/>
    <m/>
    <s v="18+ mnths"/>
    <m/>
    <m/>
    <m/>
    <m/>
    <m/>
    <m/>
    <m/>
    <s v="18+ mnths"/>
    <s v="18+ mnths"/>
    <m/>
    <m/>
    <m/>
    <m/>
    <m/>
    <s v="YES"/>
    <m/>
    <s v="YES"/>
    <s v="YES"/>
    <m/>
    <m/>
    <s v="YES"/>
    <s v="YES"/>
    <m/>
    <m/>
    <m/>
  </r>
  <r>
    <s v="Sumanjali Sarvepalle"/>
    <n v="8.1"/>
    <s v="1.5 - 3"/>
    <x v="6"/>
    <s v="USA"/>
    <m/>
    <m/>
    <s v="18+ mnths"/>
    <m/>
    <m/>
    <m/>
    <m/>
    <m/>
    <m/>
    <m/>
    <m/>
    <m/>
    <m/>
    <m/>
    <m/>
    <m/>
    <s v="YES"/>
    <m/>
    <m/>
    <s v="YES"/>
    <m/>
    <m/>
    <m/>
    <m/>
    <m/>
    <m/>
    <m/>
  </r>
  <r>
    <s v="Swetha Thirukondan Maheshwaran"/>
    <n v="8.1"/>
    <s v="3-5"/>
    <x v="5"/>
    <s v="USA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YES"/>
    <m/>
    <m/>
    <m/>
    <s v="YES"/>
    <m/>
    <m/>
    <m/>
    <m/>
    <m/>
    <s v="YES"/>
    <m/>
  </r>
  <r>
    <s v="Tejesh R Katwale"/>
    <n v="8.1"/>
    <s v="1.5 - 3"/>
    <x v="6"/>
    <s v="USA"/>
    <s v="0-6 mnths"/>
    <s v="18+ mnths"/>
    <m/>
    <m/>
    <s v="0-6 mnths"/>
    <m/>
    <m/>
    <m/>
    <s v="18+ mnths"/>
    <m/>
    <m/>
    <m/>
    <m/>
    <m/>
    <m/>
    <m/>
    <s v="YES"/>
    <m/>
    <m/>
    <s v="YES"/>
    <m/>
    <m/>
    <m/>
    <m/>
    <m/>
    <s v="YES"/>
    <m/>
  </r>
  <r>
    <s v="Thejas J"/>
    <n v="8.1999999999999993"/>
    <s v="3-5"/>
    <x v="5"/>
    <s v="USA"/>
    <s v="18+ mnths"/>
    <s v="18+ mnths"/>
    <m/>
    <m/>
    <m/>
    <m/>
    <m/>
    <m/>
    <m/>
    <m/>
    <s v="18+ mnths"/>
    <s v="18+ mnths"/>
    <s v="18+ mnths"/>
    <s v="18+ mnths"/>
    <s v="18+ mnths"/>
    <s v="YES"/>
    <s v="YES"/>
    <s v="YES"/>
    <m/>
    <s v="YES"/>
    <m/>
    <m/>
    <s v="YES"/>
    <m/>
    <m/>
    <s v="YES"/>
    <m/>
  </r>
  <r>
    <s v="V Pavan Kumar"/>
    <n v="8.1"/>
    <s v="1.5 - 3"/>
    <x v="6"/>
    <s v="USA"/>
    <m/>
    <s v="6 - 18 mnths"/>
    <m/>
    <m/>
    <m/>
    <m/>
    <m/>
    <m/>
    <m/>
    <m/>
    <m/>
    <s v="6 - 18 mnths"/>
    <m/>
    <m/>
    <m/>
    <m/>
    <m/>
    <m/>
    <m/>
    <s v="YES"/>
    <m/>
    <m/>
    <s v="YES"/>
    <m/>
    <m/>
    <m/>
    <m/>
  </r>
  <r>
    <s v="Vaishnavi C S"/>
    <n v="8.1"/>
    <s v="1.5 - 3"/>
    <x v="6"/>
    <s v="USA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18+ mnths"/>
    <s v="YES"/>
    <m/>
    <m/>
    <s v="YES"/>
    <s v="YES"/>
    <m/>
    <m/>
    <s v="YES"/>
    <m/>
    <s v="YES"/>
    <s v="YES"/>
    <m/>
  </r>
  <r>
    <s v="Vasanth Kumar G"/>
    <n v="8.1999999999999993"/>
    <s v="1.5 - 3"/>
    <x v="6"/>
    <s v="USA"/>
    <s v="6 - 18 mnths"/>
    <s v="6 - 18 mnths"/>
    <s v="6 - 18 mnths"/>
    <s v="0-6 mnths"/>
    <s v="6 - 18 mnths"/>
    <s v="6 - 18 mnths"/>
    <s v="6 - 18 mnths"/>
    <s v="0-6 mnths"/>
    <s v="6 - 18 mnths"/>
    <s v="0-6 mnths"/>
    <s v="0-6 mnths"/>
    <s v="6 - 18 mnths"/>
    <s v="6 - 18 mnths"/>
    <s v="6 - 18 mnths"/>
    <s v="6 - 18 mnths"/>
    <s v="YES"/>
    <s v="YES"/>
    <m/>
    <m/>
    <s v="YES"/>
    <m/>
    <m/>
    <s v="YES"/>
    <s v="YES"/>
    <m/>
    <s v="YES"/>
    <m/>
  </r>
  <r>
    <s v="Vedhashree R"/>
    <n v="8.1"/>
    <s v="1.5 - 3"/>
    <x v="7"/>
    <s v="USA;Canada;AUS;"/>
    <s v="0-6 mnths"/>
    <s v="0-6 mnths"/>
    <m/>
    <m/>
    <s v="0-6 mnths"/>
    <s v="0-6 mnths"/>
    <m/>
    <m/>
    <s v="6 - 18 mnths"/>
    <s v="6 - 18 mnths"/>
    <s v="6 - 18 mnths"/>
    <s v="0-6 mnths"/>
    <s v="0-6 mnths"/>
    <s v="0-6 mnths"/>
    <s v="0-6 mnths"/>
    <m/>
    <s v="YES"/>
    <s v="YES"/>
    <m/>
    <s v="YES"/>
    <m/>
    <m/>
    <s v="YES"/>
    <s v="YES"/>
    <s v="YES"/>
    <s v="YES"/>
    <m/>
  </r>
  <r>
    <s v="Venkatesh V"/>
    <n v="8.1"/>
    <s v="3-5"/>
    <x v="5"/>
    <s v="USA"/>
    <s v="18+ mnths"/>
    <s v="6 - 18 mnths"/>
    <m/>
    <m/>
    <s v="6 - 18 mnths"/>
    <s v="0-6 mnths"/>
    <m/>
    <m/>
    <m/>
    <s v="6 - 18 mnths"/>
    <s v="6 - 18 mnths"/>
    <s v="6 - 18 mnths"/>
    <s v="18+ mnths"/>
    <s v="18+ mnths"/>
    <s v="18+ mnths"/>
    <m/>
    <s v="YES"/>
    <s v="YES"/>
    <m/>
    <s v="YES"/>
    <m/>
    <m/>
    <s v="YES"/>
    <m/>
    <m/>
    <s v="YES"/>
    <m/>
  </r>
  <r>
    <s v="Vinod A"/>
    <n v="8.1"/>
    <s v="1.5 - 3"/>
    <x v="6"/>
    <s v="USA"/>
    <s v="18+ mnths"/>
    <s v="18+ mnths"/>
    <s v="18+ mnths"/>
    <s v="6 - 18 mnths"/>
    <s v="6 - 18 mnths"/>
    <s v="0-6 mnths"/>
    <m/>
    <s v="0-6 mnths"/>
    <m/>
    <m/>
    <s v="0-6 mnths"/>
    <s v="6 - 18 mnths"/>
    <m/>
    <m/>
    <m/>
    <s v="YES"/>
    <s v="YES"/>
    <s v="YES"/>
    <s v="YES"/>
    <s v="YES"/>
    <m/>
    <m/>
    <m/>
    <m/>
    <m/>
    <s v="YES"/>
    <m/>
  </r>
  <r>
    <s v="Vishnu V"/>
    <n v="8.1"/>
    <s v="3-5"/>
    <x v="5"/>
    <s v="USA"/>
    <s v="0-6 mnths"/>
    <s v="6 - 18 mnths"/>
    <s v="0-6 mnths"/>
    <s v="0-6 mnths"/>
    <s v="0-6 mnths"/>
    <m/>
    <m/>
    <s v="0-6 mnths"/>
    <m/>
    <s v="6 - 18 mnths"/>
    <s v="0-6 mnths"/>
    <m/>
    <m/>
    <m/>
    <s v="0-6 mnths"/>
    <m/>
    <m/>
    <m/>
    <m/>
    <s v="YES"/>
    <m/>
    <m/>
    <s v="YES"/>
    <s v="YES"/>
    <s v="YES"/>
    <s v="YES"/>
    <m/>
  </r>
  <r>
    <s v="Vishwas Rao S"/>
    <n v="8.1"/>
    <s v="1.5 - 3"/>
    <x v="6"/>
    <s v="USA"/>
    <m/>
    <s v="18+ mnths"/>
    <m/>
    <m/>
    <m/>
    <m/>
    <m/>
    <m/>
    <m/>
    <s v="18+ mnths"/>
    <s v="18+ mnths"/>
    <m/>
    <m/>
    <m/>
    <m/>
    <m/>
    <s v="YES"/>
    <m/>
    <m/>
    <m/>
    <m/>
    <m/>
    <s v="YES"/>
    <m/>
    <m/>
    <m/>
    <m/>
  </r>
  <r>
    <s v="Darshan S N"/>
    <n v="8.1"/>
    <s v="0.5 - 1.5"/>
    <x v="7"/>
    <s v="USA"/>
    <m/>
    <s v="6 - 18 mnths"/>
    <s v="6 - 18 mnths"/>
    <m/>
    <m/>
    <m/>
    <s v="6 - 18 mnths"/>
    <m/>
    <m/>
    <m/>
    <m/>
    <m/>
    <s v="6 - 18 mnths"/>
    <s v="6 - 18 mnths"/>
    <m/>
    <s v="YES"/>
    <m/>
    <m/>
    <m/>
    <s v="YES"/>
    <m/>
    <m/>
    <m/>
    <m/>
    <m/>
    <m/>
    <m/>
  </r>
  <r>
    <s v="Vineeth E S"/>
    <n v="8.1"/>
    <s v="1.5 - 3"/>
    <x v="6"/>
    <s v="USA"/>
    <s v="6 - 18 mnths"/>
    <m/>
    <m/>
    <m/>
    <m/>
    <m/>
    <m/>
    <m/>
    <m/>
    <m/>
    <m/>
    <m/>
    <m/>
    <m/>
    <m/>
    <m/>
    <m/>
    <m/>
    <m/>
    <s v="YES"/>
    <m/>
    <m/>
    <s v="YES"/>
    <s v="YES"/>
    <m/>
    <s v="YES"/>
    <m/>
  </r>
  <r>
    <s v="Ashil Thomas"/>
    <n v="8.1999999999999993"/>
    <s v="3-5"/>
    <x v="5"/>
    <s v="USA"/>
    <m/>
    <m/>
    <s v="18+ mnths"/>
    <m/>
    <m/>
    <m/>
    <m/>
    <m/>
    <m/>
    <m/>
    <m/>
    <m/>
    <m/>
    <m/>
    <m/>
    <s v="YES"/>
    <m/>
    <m/>
    <m/>
    <s v="YES"/>
    <m/>
    <m/>
    <s v="YES"/>
    <m/>
    <m/>
    <m/>
    <m/>
  </r>
  <r>
    <s v="Dinesh S"/>
    <n v="8.1"/>
    <s v="3-5"/>
    <x v="5"/>
    <s v="USA"/>
    <s v="0-6 mnths"/>
    <s v="18+ mnths"/>
    <m/>
    <m/>
    <m/>
    <m/>
    <m/>
    <m/>
    <s v="18+ mnths"/>
    <s v="18+ mnths"/>
    <s v="18+ mnths"/>
    <s v="18+ mnths"/>
    <m/>
    <s v="18+ mnths"/>
    <s v="6 - 18 mnths"/>
    <s v="YES"/>
    <s v="YES"/>
    <s v="YES"/>
    <m/>
    <s v="YES"/>
    <m/>
    <m/>
    <s v="YES"/>
    <m/>
    <m/>
    <m/>
    <m/>
  </r>
  <r>
    <s v="Perumandla Suraj"/>
    <n v="8.1999999999999993"/>
    <s v="3-5"/>
    <x v="5"/>
    <s v="USA"/>
    <m/>
    <m/>
    <m/>
    <m/>
    <m/>
    <m/>
    <m/>
    <m/>
    <m/>
    <s v="6 - 18 mnths"/>
    <m/>
    <s v="6 - 18 mnths"/>
    <m/>
    <m/>
    <m/>
    <m/>
    <m/>
    <m/>
    <m/>
    <s v="YES"/>
    <m/>
    <m/>
    <s v="YES"/>
    <s v="YES"/>
    <m/>
    <s v="YES"/>
    <m/>
  </r>
  <r>
    <s v="Chitipiralla Nirusha"/>
    <n v="8.1999999999999993"/>
    <s v="3-5"/>
    <x v="5"/>
    <s v="USA"/>
    <s v="18+ mnths"/>
    <s v="18+ mnths"/>
    <s v="6 - 18 mnths"/>
    <m/>
    <s v="6 - 18 mnths"/>
    <m/>
    <s v="6 - 18 mnths"/>
    <m/>
    <m/>
    <s v="0-6 mnths"/>
    <m/>
    <s v="0-6 mnths"/>
    <m/>
    <m/>
    <m/>
    <s v="YES"/>
    <m/>
    <m/>
    <m/>
    <s v="YES"/>
    <m/>
    <m/>
    <s v="YES"/>
    <s v="YES"/>
    <s v="YES"/>
    <m/>
    <m/>
  </r>
  <r>
    <s v="Thanushree V"/>
    <n v="8.1"/>
    <s v="1.5 - 3"/>
    <x v="6"/>
    <s v="USA;UK"/>
    <m/>
    <s v="6 - 18 mnths"/>
    <m/>
    <m/>
    <m/>
    <m/>
    <s v="6 - 18 mnths"/>
    <m/>
    <m/>
    <s v="18+ mnths"/>
    <m/>
    <s v="18+ mnths"/>
    <m/>
    <m/>
    <m/>
    <m/>
    <s v="YES"/>
    <m/>
    <m/>
    <s v="YES"/>
    <m/>
    <m/>
    <m/>
    <m/>
    <m/>
    <s v="YES"/>
    <m/>
  </r>
  <r>
    <s v="Yaparla Pavan Kalyan Reddy"/>
    <n v="8.1"/>
    <s v="1.5 - 3"/>
    <x v="6"/>
    <s v="USA"/>
    <s v="0-6 mnths"/>
    <m/>
    <m/>
    <m/>
    <s v="0-6 mnths"/>
    <m/>
    <s v="0-6 mnths"/>
    <m/>
    <s v="6 - 18 mnths"/>
    <m/>
    <s v="6 - 18 mnths"/>
    <s v="0-6 mnths"/>
    <m/>
    <m/>
    <m/>
    <s v="YES"/>
    <m/>
    <m/>
    <s v="YES"/>
    <s v="YES"/>
    <m/>
    <m/>
    <s v="YES"/>
    <m/>
    <s v="YES"/>
    <m/>
    <m/>
  </r>
  <r>
    <s v="Shreeyas S"/>
    <n v="8.1"/>
    <s v="1.5 - 3"/>
    <x v="6"/>
    <s v="USA"/>
    <s v="6 - 18 mnths"/>
    <s v="6 - 18 mnths"/>
    <m/>
    <m/>
    <s v="0-6 mnths"/>
    <m/>
    <m/>
    <m/>
    <m/>
    <s v="18+ mnths"/>
    <m/>
    <s v="18+ mnths"/>
    <m/>
    <m/>
    <m/>
    <m/>
    <m/>
    <m/>
    <s v="YES"/>
    <s v="YES"/>
    <s v="YES"/>
    <m/>
    <s v="YES"/>
    <s v="YES"/>
    <m/>
    <m/>
    <m/>
  </r>
  <r>
    <s v="Anurag V P"/>
    <n v="8.1"/>
    <s v="3-5"/>
    <x v="5"/>
    <s v="USA"/>
    <m/>
    <m/>
    <m/>
    <m/>
    <m/>
    <m/>
    <m/>
    <m/>
    <m/>
    <m/>
    <m/>
    <s v="18+ mnths"/>
    <m/>
    <m/>
    <m/>
    <m/>
    <m/>
    <m/>
    <m/>
    <m/>
    <m/>
    <m/>
    <m/>
    <m/>
    <m/>
    <m/>
    <m/>
  </r>
  <r>
    <s v="M D Javeed"/>
    <n v="6"/>
    <s v="10+"/>
    <x v="3"/>
    <s v="USA;UK"/>
    <m/>
    <s v="18+ mnths"/>
    <s v="18+ mnths"/>
    <m/>
    <s v="18+ mnths"/>
    <s v="18+ mnths"/>
    <m/>
    <m/>
    <s v="18+ mnths"/>
    <m/>
    <s v="18+ mnths"/>
    <s v="18+ mnths"/>
    <m/>
    <m/>
    <m/>
    <m/>
    <m/>
    <m/>
    <m/>
    <s v="YES"/>
    <m/>
    <m/>
    <m/>
    <m/>
    <m/>
    <m/>
    <m/>
  </r>
  <r>
    <s v="Mohamed Bilal Nazeer Ahamed"/>
    <n v="5"/>
    <s v="10+"/>
    <x v="3"/>
    <s v="USA;UK"/>
    <m/>
    <s v="18+ mnths"/>
    <m/>
    <m/>
    <m/>
    <m/>
    <m/>
    <m/>
    <m/>
    <s v="18+ mnths"/>
    <m/>
    <m/>
    <m/>
    <m/>
    <m/>
    <m/>
    <s v="YES"/>
    <s v="YES"/>
    <s v="YES"/>
    <s v="YES"/>
    <s v="YES"/>
    <s v="YES"/>
    <s v="YES"/>
    <m/>
    <m/>
    <m/>
    <s v="AINS 25"/>
  </r>
  <r>
    <s v="Sailesh V"/>
    <n v="8.1"/>
    <s v="1.5 - 3"/>
    <x v="6"/>
    <s v="USA"/>
    <s v="6 - 18 mnths"/>
    <m/>
    <m/>
    <m/>
    <m/>
    <m/>
    <m/>
    <m/>
    <s v="6 - 18 mnths"/>
    <m/>
    <m/>
    <s v="6 - 18 mnths"/>
    <s v="6 - 18 mnths"/>
    <m/>
    <m/>
    <m/>
    <m/>
    <m/>
    <m/>
    <s v="YES"/>
    <m/>
    <m/>
    <m/>
    <m/>
    <m/>
    <m/>
    <m/>
  </r>
  <r>
    <s v="Thejashri H"/>
    <n v="8.1"/>
    <s v="3-5"/>
    <x v="5"/>
    <s v="USA"/>
    <m/>
    <m/>
    <s v="6 - 18 mnths"/>
    <m/>
    <m/>
    <m/>
    <m/>
    <m/>
    <m/>
    <s v="6 - 18 mnths"/>
    <m/>
    <m/>
    <m/>
    <m/>
    <m/>
    <m/>
    <m/>
    <m/>
    <m/>
    <s v="YES"/>
    <m/>
    <m/>
    <s v="YES"/>
    <m/>
    <m/>
    <m/>
    <m/>
  </r>
  <r>
    <s v="Punam Kumari"/>
    <n v="8.1"/>
    <s v="1.5 - 3"/>
    <x v="6"/>
    <s v="USA"/>
    <s v="6 - 18 mnths"/>
    <s v="0-6 mnths"/>
    <s v="0-6 mnths"/>
    <m/>
    <s v="0-6 mnths"/>
    <m/>
    <s v="0-6 mnths"/>
    <m/>
    <m/>
    <m/>
    <m/>
    <m/>
    <m/>
    <m/>
    <m/>
    <m/>
    <m/>
    <m/>
    <m/>
    <s v="YES"/>
    <m/>
    <m/>
    <s v="YES"/>
    <m/>
    <m/>
    <m/>
    <m/>
  </r>
  <r>
    <s v="Tejaswini A"/>
    <n v="8.1"/>
    <s v="1.5 - 3"/>
    <x v="6"/>
    <s v="USA"/>
    <m/>
    <s v="6 - 18 mnths"/>
    <m/>
    <m/>
    <s v="6 - 18 mnths"/>
    <m/>
    <s v="0-6 mnths"/>
    <m/>
    <m/>
    <m/>
    <m/>
    <m/>
    <m/>
    <m/>
    <m/>
    <m/>
    <m/>
    <m/>
    <m/>
    <s v="YES"/>
    <m/>
    <m/>
    <s v="YES"/>
    <m/>
    <m/>
    <m/>
    <m/>
  </r>
  <r>
    <s v="Chittajallu Thriveni"/>
    <n v="8.1"/>
    <s v="1.5 - 3"/>
    <x v="6"/>
    <s v="USA"/>
    <s v="6 - 18 mnths"/>
    <s v="6 - 18 mnths"/>
    <s v="0-6 mnths"/>
    <m/>
    <s v="0-6 mnths"/>
    <m/>
    <s v="0-6 mnths"/>
    <s v="0-6 mnths"/>
    <s v="6 - 18 mnths"/>
    <s v="0-6 mnths"/>
    <s v="0-6 mnths"/>
    <s v="6 - 18 mnths"/>
    <m/>
    <m/>
    <m/>
    <m/>
    <s v="YES"/>
    <m/>
    <m/>
    <s v="YES"/>
    <m/>
    <m/>
    <s v="YES"/>
    <m/>
    <s v="YES"/>
    <m/>
    <m/>
  </r>
  <r>
    <s v="Sampath Anand"/>
    <n v="6"/>
    <s v="10+"/>
    <x v="7"/>
    <s v="USA;UK"/>
    <s v="6 - 18 mnths"/>
    <s v="6 - 18 mnths"/>
    <s v="0-6 mnths"/>
    <m/>
    <s v="0-6 mnths"/>
    <s v="0-6 mnths"/>
    <s v="0-6 mnths"/>
    <m/>
    <m/>
    <m/>
    <m/>
    <s v="6 - 18 mnths"/>
    <s v="0-6 months"/>
    <s v="0-6 mnths"/>
    <m/>
    <s v="YES"/>
    <s v="YES"/>
    <m/>
    <s v="YES"/>
    <s v="YES"/>
    <m/>
    <s v="YES"/>
    <s v="YES"/>
    <m/>
    <m/>
    <m/>
    <m/>
  </r>
  <r>
    <s v="Shivanand Kallayyanamath"/>
    <n v="8.1"/>
    <s v="3-5"/>
    <x v="5"/>
    <s v="CAN"/>
    <m/>
    <s v="6 - 18 mnths"/>
    <m/>
    <m/>
    <s v="0-6 mnths"/>
    <m/>
    <m/>
    <m/>
    <m/>
    <m/>
    <m/>
    <m/>
    <m/>
    <m/>
    <m/>
    <m/>
    <m/>
    <m/>
    <m/>
    <s v="YES"/>
    <m/>
    <m/>
    <s v="YES"/>
    <m/>
    <s v="YES"/>
    <m/>
    <m/>
  </r>
  <r>
    <s v="Gajalakshmi N"/>
    <n v="8.1999999999999993"/>
    <s v="10+"/>
    <x v="3"/>
    <s v="UK &amp; AUS"/>
    <s v="18+ mnths"/>
    <s v="6 - 18 mnths"/>
    <m/>
    <m/>
    <s v="6 - 18 mnths"/>
    <s v="6 - 18 mnths"/>
    <s v="6 - 18 mnths"/>
    <m/>
    <s v="6 - 18 mnths"/>
    <m/>
    <s v="18+ mnths"/>
    <s v="18+ mnths"/>
    <s v="18+ mnths"/>
    <s v="18+ mnths"/>
    <s v="18+ mnths"/>
    <s v="YES"/>
    <m/>
    <m/>
    <m/>
    <s v="YES"/>
    <m/>
    <m/>
    <m/>
    <m/>
    <m/>
    <m/>
    <m/>
  </r>
  <r>
    <s v="Shamshuddin S"/>
    <n v="6"/>
    <s v="10+"/>
    <x v="8"/>
    <s v="USA"/>
    <s v="6 - 18 mnths"/>
    <s v="18+ mnths"/>
    <s v="18+ mnths"/>
    <m/>
    <s v="18+ mnths"/>
    <m/>
    <s v="18+ mnths"/>
    <s v="0-6 mnths"/>
    <s v="18+ mnths"/>
    <s v="6 - 18 mnths"/>
    <s v="18+ mnths"/>
    <s v="18+ mnths"/>
    <m/>
    <s v="18+ mnths"/>
    <m/>
    <s v="YES"/>
    <s v="YES"/>
    <s v="YES"/>
    <s v="YES"/>
    <s v="YES"/>
    <m/>
    <s v="YES"/>
    <s v="YES"/>
    <m/>
    <s v="YES"/>
    <s v="YES"/>
    <m/>
  </r>
  <r>
    <s v="Swaminathan MD"/>
    <n v="6"/>
    <s v="10+"/>
    <x v="8"/>
    <s v="USA"/>
    <m/>
    <m/>
    <m/>
    <m/>
    <m/>
    <m/>
    <m/>
    <m/>
    <m/>
    <m/>
    <m/>
    <m/>
    <m/>
    <m/>
    <m/>
    <m/>
    <m/>
    <m/>
    <m/>
    <m/>
    <m/>
    <m/>
    <m/>
    <m/>
    <m/>
    <m/>
    <m/>
  </r>
  <r>
    <s v="Renjit Ravindran Nair"/>
    <n v="6"/>
    <s v="10+"/>
    <x v="8"/>
    <s v="USA"/>
    <m/>
    <m/>
    <m/>
    <m/>
    <s v="18+ mnths"/>
    <s v="18+ mnths"/>
    <s v="18+ mnths"/>
    <m/>
    <m/>
    <m/>
    <s v="18+ mnths"/>
    <s v="18+ mnths"/>
    <m/>
    <s v="6 - 18 mnths"/>
    <m/>
    <m/>
    <m/>
    <m/>
    <m/>
    <s v="YES"/>
    <m/>
    <s v="YES"/>
    <s v="YES"/>
    <m/>
    <m/>
    <s v="YES"/>
    <s v="AINS &amp; AIS"/>
  </r>
  <r>
    <s v="Tejasai R"/>
    <n v="8.1999999999999993"/>
    <s v="1.5 - 3"/>
    <x v="6"/>
    <s v="USA"/>
    <s v="18+ Months"/>
    <s v="18+ Months"/>
    <s v="18+ Months"/>
    <m/>
    <s v="18+ Months"/>
    <s v="18+ Months"/>
    <s v="18+ Months"/>
    <m/>
    <s v="18+ Months"/>
    <m/>
    <s v="18+ Months"/>
    <s v="18+ Months"/>
    <s v="6 - 18 Months"/>
    <s v="Less than 6 Months"/>
    <m/>
    <m/>
    <s v="No"/>
    <s v="YES"/>
    <s v="No"/>
    <s v="YES"/>
    <s v="YES"/>
    <s v="Yellow Belt"/>
    <m/>
    <m/>
    <m/>
    <m/>
    <m/>
  </r>
  <r>
    <s v="Anandu Viswanath"/>
    <n v="8.1999999999999993"/>
    <s v="3 - 5"/>
    <x v="10"/>
    <s v="USA;Other"/>
    <s v="6 - 18 Months"/>
    <s v="6 - 18 Months"/>
    <s v="6 - 18 Months"/>
    <s v="6 - 18 Months"/>
    <s v="0-6 months"/>
    <s v="0-6 months"/>
    <s v="6 - 18 Months"/>
    <m/>
    <s v="18+ Months"/>
    <m/>
    <s v="6 - 18 Months"/>
    <s v="18+ Months"/>
    <s v="Less than 6 Months"/>
    <s v="Less than 6 Months"/>
    <s v="Less than 6 Months"/>
    <s v="Less than 6 Months"/>
    <s v="No"/>
    <s v="No"/>
    <s v="No"/>
    <s v="YES"/>
    <s v="YES"/>
    <s v="None"/>
    <s v="YES"/>
    <m/>
    <m/>
    <m/>
    <m/>
  </r>
  <r>
    <s v="Shrinath Reddy N R"/>
    <n v="7.1"/>
    <s v="8-10"/>
    <x v="3"/>
    <s v="USA;UK"/>
    <s v="6 - 18 Months"/>
    <s v="6 - 18 Months"/>
    <s v="18+ Months"/>
    <m/>
    <m/>
    <m/>
    <m/>
    <m/>
    <m/>
    <m/>
    <m/>
    <s v="6 - 18 Months"/>
    <s v="18+ Months"/>
    <m/>
    <m/>
    <s v="18+ Months"/>
    <s v="No"/>
    <s v="No"/>
    <s v="No"/>
    <s v="YES"/>
    <s v="No"/>
    <s v="None"/>
    <m/>
    <m/>
    <m/>
    <s v="YES"/>
    <m/>
  </r>
  <r>
    <s v="Koushik SV"/>
    <n v="7.1"/>
    <s v="5-7"/>
    <x v="2"/>
    <s v="UK"/>
    <s v="18+ mnths"/>
    <s v="18+ Months"/>
    <s v="6 - 18 Months"/>
    <s v="18+ Months"/>
    <m/>
    <m/>
    <s v="6 - 18 Months"/>
    <m/>
    <m/>
    <s v="0-6 months"/>
    <m/>
    <s v="0-6 months"/>
    <s v="6 - 18 Months"/>
    <s v="6 - 18 Months"/>
    <s v="Less than 6 Months"/>
    <s v="Less than 6 Months"/>
    <s v="YES"/>
    <s v="YES"/>
    <s v="YES"/>
    <s v="YES"/>
    <s v="YES"/>
    <s v="Yellow Belt"/>
    <s v="YES"/>
    <m/>
    <m/>
    <m/>
    <m/>
  </r>
  <r>
    <s v="Manjunath.BR"/>
    <n v="7.1"/>
    <s v="3-5"/>
    <x v="5"/>
    <s v="USA"/>
    <s v="18+ Months"/>
    <s v="18+ Months"/>
    <s v="18+ Months"/>
    <s v="6 - 18 Months"/>
    <s v="18+ Months"/>
    <s v="18+ Months"/>
    <s v="18+ Months"/>
    <s v="18+ Months"/>
    <s v="18+ Months"/>
    <s v="18+ Months"/>
    <s v="18+ Months"/>
    <s v="6 - 18 Months"/>
    <m/>
    <m/>
    <m/>
    <s v="6 - 18 Months"/>
    <s v="No"/>
    <s v="No"/>
    <s v="No"/>
    <s v="YES"/>
    <s v="YES"/>
    <s v="None"/>
    <m/>
    <m/>
    <m/>
    <m/>
    <m/>
  </r>
  <r>
    <s v="Arun Kumar NG"/>
    <n v="7.1"/>
    <s v="8-10"/>
    <x v="3"/>
    <s v="USA"/>
    <s v="6 - 18 Months"/>
    <s v="18+ Months"/>
    <s v="18+ Months"/>
    <s v="18+ Months"/>
    <s v="18+ Months"/>
    <s v="18+ Months"/>
    <s v="18+ Months"/>
    <s v="6 - 18 Months"/>
    <s v="6 - 18 Months"/>
    <s v="6 - 18 Months"/>
    <s v="18+ Months"/>
    <s v="18+ Months"/>
    <m/>
    <s v="6 - 18 Months"/>
    <s v="6 - 18 Months"/>
    <s v="6 - 18 Months"/>
    <s v="No"/>
    <s v="No"/>
    <s v="No"/>
    <s v="No"/>
    <s v="No"/>
    <s v="None"/>
    <s v="YES"/>
    <m/>
    <m/>
    <s v="YES"/>
    <m/>
  </r>
  <r>
    <s v="Anurag Kumar"/>
    <n v="7.2"/>
    <s v="5-7"/>
    <x v="2"/>
    <s v="USA"/>
    <s v="18+ Months"/>
    <s v="18+ Months"/>
    <s v="18+ Months"/>
    <s v="18+ Months"/>
    <s v="18+ Months"/>
    <s v="18+ Months"/>
    <s v="18+ Months"/>
    <s v="18+ Months"/>
    <s v="6 - 18 Months"/>
    <m/>
    <s v="6 - 18 Months"/>
    <s v="18+ Months"/>
    <m/>
    <m/>
    <m/>
    <s v="6 - 18 Months"/>
    <s v="No"/>
    <s v="No"/>
    <s v="YES"/>
    <s v="YES"/>
    <s v="YES"/>
    <s v="None"/>
    <s v="YES"/>
    <s v="YES"/>
    <s v="YES"/>
    <m/>
    <m/>
  </r>
  <r>
    <s v="Saritha G"/>
    <n v="7.1"/>
    <s v="5-7"/>
    <x v="2"/>
    <s v="USA"/>
    <s v="18+ Months"/>
    <s v="0-6 months"/>
    <m/>
    <m/>
    <s v="6 - 18 Months"/>
    <s v="6 - 18 Months"/>
    <m/>
    <m/>
    <s v="18+ Months"/>
    <m/>
    <m/>
    <s v="0-6 months"/>
    <s v="Less than 6 Months"/>
    <s v="Less than 6 Months"/>
    <s v="Less than 6 Months"/>
    <s v="18+ Months"/>
    <s v="YES"/>
    <s v="YES"/>
    <s v="YES"/>
    <s v="YES"/>
    <s v="YES"/>
    <s v="Green Belt;Yellow Belt"/>
    <s v="YES"/>
    <s v="YES"/>
    <s v="YES"/>
    <s v="YES"/>
    <m/>
  </r>
  <r>
    <s v="Nithish PC"/>
    <n v="7.2"/>
    <s v="7-8"/>
    <x v="4"/>
    <s v="USA"/>
    <s v="18+ Months"/>
    <s v="18+ Months"/>
    <s v="18+ Months"/>
    <s v="6 - 18 Months"/>
    <s v="18+ Months"/>
    <s v="18+ Months"/>
    <s v="18+ Months"/>
    <m/>
    <m/>
    <m/>
    <m/>
    <s v="18+ Months"/>
    <s v="Less than 6 Months"/>
    <s v="Less than 6 Months"/>
    <m/>
    <s v="18+ Months"/>
    <s v="No"/>
    <s v="No"/>
    <s v="YES"/>
    <s v="YES"/>
    <s v="YES"/>
    <s v="None"/>
    <s v="YES"/>
    <m/>
    <s v="YES"/>
    <s v="YES"/>
    <m/>
  </r>
  <r>
    <s v="SHIVAKUMAR S"/>
    <n v="7.1"/>
    <s v="5-7"/>
    <x v="2"/>
    <s v="USA;UK"/>
    <m/>
    <s v="6 - 18 Months"/>
    <m/>
    <m/>
    <m/>
    <s v="18+ Months"/>
    <s v="18+ Months"/>
    <m/>
    <s v="6 - 18 Months"/>
    <m/>
    <m/>
    <s v="6 - 18 Months"/>
    <m/>
    <m/>
    <m/>
    <s v="18+ Months"/>
    <s v="No"/>
    <s v="No"/>
    <s v="No"/>
    <s v="YES"/>
    <s v="YES"/>
    <s v="None"/>
    <s v="YES"/>
    <m/>
    <m/>
    <s v="YES"/>
    <m/>
  </r>
  <r>
    <s v="S Sandeep"/>
    <n v="7.1"/>
    <s v="10+"/>
    <x v="8"/>
    <s v="USA"/>
    <s v="18+ Months"/>
    <s v="18+ Months"/>
    <s v="18+ Months"/>
    <m/>
    <s v="18+ Months"/>
    <m/>
    <s v="18+ Months"/>
    <m/>
    <s v="18+ Months"/>
    <m/>
    <s v="0-6 months"/>
    <s v="6 - 18 Months"/>
    <s v="6 - 18 Months"/>
    <m/>
    <m/>
    <m/>
    <s v="No"/>
    <s v="YES"/>
    <s v="YES"/>
    <s v="YES"/>
    <s v="YES"/>
    <s v="None"/>
    <m/>
    <m/>
    <m/>
    <m/>
    <m/>
  </r>
  <r>
    <s v="Chaithra.SL"/>
    <n v="7.1"/>
    <s v="8-10"/>
    <x v="3"/>
    <s v="USA"/>
    <s v="6 - 18 Months"/>
    <s v="6 - 18 Months"/>
    <s v="6 - 18 Months"/>
    <m/>
    <s v="6 - 18 Months"/>
    <m/>
    <s v="0-6 months"/>
    <m/>
    <s v="0-6 months"/>
    <s v="6 - 18 Months"/>
    <s v="18+ Months"/>
    <s v="6 - 18 Months"/>
    <s v="18+ Months"/>
    <m/>
    <s v="6 - 18 Months"/>
    <m/>
    <s v="No"/>
    <s v="No"/>
    <s v="No"/>
    <s v="YES"/>
    <s v="YES"/>
    <s v="None"/>
    <m/>
    <m/>
    <m/>
    <s v="YES"/>
    <m/>
  </r>
  <r>
    <s v="Bismi Juna"/>
    <n v="8.1999999999999993"/>
    <s v="7-8"/>
    <x v="4"/>
    <s v="USA"/>
    <m/>
    <m/>
    <m/>
    <m/>
    <m/>
    <m/>
    <m/>
    <m/>
    <m/>
    <m/>
    <m/>
    <m/>
    <m/>
    <m/>
    <m/>
    <s v="6 - 18 Months"/>
    <s v="No"/>
    <s v="No"/>
    <s v="No"/>
    <s v="No"/>
    <s v="No"/>
    <s v="None"/>
    <s v="YES"/>
    <s v="YES"/>
    <m/>
    <s v="YES"/>
    <m/>
  </r>
  <r>
    <s v="Shwetha M"/>
    <n v="7.1"/>
    <s v="7-8"/>
    <x v="4"/>
    <s v="USA"/>
    <m/>
    <m/>
    <m/>
    <m/>
    <m/>
    <m/>
    <m/>
    <m/>
    <s v="18+ Months"/>
    <m/>
    <m/>
    <m/>
    <m/>
    <m/>
    <m/>
    <s v="6 - 18 Months"/>
    <s v="No"/>
    <s v="No"/>
    <s v="No"/>
    <s v="YES"/>
    <s v="YES"/>
    <s v="None"/>
    <s v="YES"/>
    <m/>
    <m/>
    <s v="YES"/>
    <m/>
  </r>
  <r>
    <s v="Santanu Roy"/>
    <n v="7.1"/>
    <s v="0.5 - 1.5"/>
    <x v="7"/>
    <s v="USA;Canada"/>
    <m/>
    <s v="6 - 18 Months"/>
    <m/>
    <m/>
    <s v="6 - 18 Months"/>
    <s v="6 - 18 Months"/>
    <s v="6 - 18 Months"/>
    <m/>
    <s v="6 - 18 Months"/>
    <m/>
    <s v="6 - 18 Months"/>
    <s v="6 - 18 Months"/>
    <m/>
    <m/>
    <m/>
    <s v="6 - 18 Months"/>
    <s v="YES"/>
    <s v="YES"/>
    <s v="YES"/>
    <s v="YES"/>
    <s v="YES"/>
    <s v="None"/>
    <s v="YES"/>
    <s v="YES"/>
    <m/>
    <m/>
    <m/>
  </r>
  <r>
    <s v="Manish Singh"/>
    <n v="8.1"/>
    <s v="0.5 - 1.5"/>
    <x v="7"/>
    <s v="UK"/>
    <m/>
    <m/>
    <m/>
    <m/>
    <m/>
    <m/>
    <m/>
    <s v="18+ Months"/>
    <m/>
    <m/>
    <s v="18+ Months"/>
    <s v="18+ Months"/>
    <s v="18+ Months"/>
    <m/>
    <m/>
    <m/>
    <s v="YES"/>
    <m/>
    <m/>
    <s v="YES"/>
    <s v="YES"/>
    <m/>
    <m/>
    <m/>
    <m/>
    <m/>
    <m/>
  </r>
  <r>
    <s v="Gopal Singhal"/>
    <n v="7.1"/>
    <s v="5-7"/>
    <x v="2"/>
    <s v="USA"/>
    <s v="6 - 18 Months"/>
    <s v="18+ Months"/>
    <s v="6 - 18 Months"/>
    <s v="0-6 months"/>
    <s v="18+ Months"/>
    <s v="6 - 18 Months"/>
    <s v="6 - 18 Months"/>
    <s v="6 - 18 Months"/>
    <s v="0-6 months"/>
    <s v="6 - 18 Months"/>
    <s v="18+ Months"/>
    <s v="18+ Months"/>
    <s v="18+ Months"/>
    <s v="18+ Months"/>
    <m/>
    <m/>
    <m/>
    <m/>
    <m/>
    <m/>
    <m/>
    <m/>
    <m/>
    <m/>
    <m/>
    <m/>
    <m/>
  </r>
  <r>
    <s v="Punith R"/>
    <n v="7.1"/>
    <s v="8-10"/>
    <x v="3"/>
    <s v="Other"/>
    <s v="0-6 months"/>
    <s v="6 - 18 Months"/>
    <m/>
    <m/>
    <s v="6 - 18 Months"/>
    <s v="6 - 18 Months"/>
    <s v="6 - 18 Months"/>
    <m/>
    <m/>
    <m/>
    <m/>
    <s v="6 - 18 Months"/>
    <m/>
    <m/>
    <m/>
    <s v="6 - 18 Months"/>
    <m/>
    <m/>
    <m/>
    <s v="YES"/>
    <m/>
    <m/>
    <m/>
    <m/>
    <m/>
    <s v="YES"/>
    <m/>
  </r>
  <r>
    <s v="Chandana. R"/>
    <n v="7.2"/>
    <s v="8-10"/>
    <x v="3"/>
    <s v="USA"/>
    <s v="18+ mnths"/>
    <s v="18+ Months"/>
    <s v="18+ mnths"/>
    <m/>
    <s v="18+ Months"/>
    <s v="18+ Months"/>
    <s v="18+ Months"/>
    <s v="0-6 months"/>
    <s v="6 - 18 Months"/>
    <s v="6 - 18 Months"/>
    <s v="18+ Months"/>
    <s v="18+ Months"/>
    <s v="18+ Months"/>
    <s v="18+ Months"/>
    <m/>
    <m/>
    <s v="No"/>
    <s v="No"/>
    <s v="YES"/>
    <s v="YES"/>
    <s v="YES"/>
    <s v="None"/>
    <m/>
    <m/>
    <m/>
    <m/>
    <m/>
  </r>
  <r>
    <s v="Tejashree N"/>
    <n v="7.1"/>
    <s v="3-5"/>
    <x v="5"/>
    <s v="USA"/>
    <s v="6 - 18 Months"/>
    <s v="18+ Months"/>
    <s v="18+ Months"/>
    <s v="0-6 months"/>
    <s v="18+ Months"/>
    <s v="6 - 18 Months"/>
    <s v="18+ Months"/>
    <s v="0-6 months"/>
    <s v="0-6 months"/>
    <s v="18+ Months"/>
    <s v="18+ Months"/>
    <s v="18+ Months"/>
    <s v="6 - 18 Months"/>
    <m/>
    <s v="Less than 6 Months"/>
    <s v="6 - 18 Months"/>
    <s v="YES"/>
    <s v="No"/>
    <s v="No"/>
    <s v="YES"/>
    <s v="YES"/>
    <s v="None"/>
    <s v="YES"/>
    <m/>
    <m/>
    <m/>
    <m/>
  </r>
  <r>
    <s v="Doddam Praveen Kumar"/>
    <n v="7.1"/>
    <s v="7-8"/>
    <x v="4"/>
    <s v="USA;UK;Canada"/>
    <s v="0-6 months"/>
    <s v="18+ Months"/>
    <s v="18+ mnths"/>
    <s v="0-6 months"/>
    <s v="6 - 18 Months"/>
    <s v="6 - 18 Months"/>
    <m/>
    <s v="6 - 18 Months"/>
    <s v="0-6 months"/>
    <m/>
    <s v="18+ Months"/>
    <s v="18+ Months"/>
    <m/>
    <m/>
    <m/>
    <s v="6 - 18 Months"/>
    <s v="No"/>
    <s v="No"/>
    <s v="No"/>
    <s v="YES"/>
    <s v="YES"/>
    <s v="None"/>
    <s v="YES"/>
    <m/>
    <s v="YES"/>
    <m/>
    <m/>
  </r>
  <r>
    <s v="Abhijith vr"/>
    <n v="8.1999999999999993"/>
    <s v="5-7"/>
    <x v="2"/>
    <s v="USA;UK"/>
    <s v="6 - 18 Months"/>
    <s v="18+ Months"/>
    <s v="6 - 18 Months"/>
    <s v="18+ Months"/>
    <s v="18+ Months"/>
    <s v="18+ Months"/>
    <s v="18+ Months"/>
    <m/>
    <s v="18+ Months"/>
    <s v="18+ Months"/>
    <s v="18+ Months"/>
    <s v="18+ Months"/>
    <s v="6 - 18 Months"/>
    <s v="6 - 18 Months"/>
    <s v="Less than 6 Months"/>
    <s v="18+ Months"/>
    <s v="YES"/>
    <s v="No"/>
    <s v="YES"/>
    <s v="YES"/>
    <s v="YES"/>
    <s v="None"/>
    <s v="YES"/>
    <s v="YES"/>
    <s v="YES"/>
    <m/>
    <m/>
  </r>
  <r>
    <s v="Santhosh N"/>
    <n v="7.1"/>
    <s v="3-5"/>
    <x v="5"/>
    <s v="UK;USA"/>
    <s v="0-6 months"/>
    <m/>
    <m/>
    <m/>
    <m/>
    <m/>
    <s v="6 - 18 Months"/>
    <m/>
    <s v="0-6 months"/>
    <m/>
    <s v="0-6 months"/>
    <m/>
    <s v="6 - 18 Months"/>
    <m/>
    <m/>
    <s v="Less than 6 Months"/>
    <s v="No"/>
    <s v="No"/>
    <s v="No"/>
    <s v="YES"/>
    <s v="YES"/>
    <s v="None"/>
    <m/>
    <m/>
    <m/>
    <m/>
    <m/>
  </r>
  <r>
    <s v="Sanjay Ishwar Naik"/>
    <n v="7.1"/>
    <s v="3-5"/>
    <x v="5"/>
    <s v="USA"/>
    <s v="0-6 mnths"/>
    <s v="18+ mnths"/>
    <s v="18+ mnths"/>
    <s v="0-6 mnths"/>
    <s v="6 - 18 Months"/>
    <s v="6 - 18 Months"/>
    <m/>
    <s v="6 - 18 mnths"/>
    <s v="0-6 months"/>
    <m/>
    <s v="18+ Months"/>
    <s v="18+ mnths"/>
    <m/>
    <s v="Less than 6 Months"/>
    <m/>
    <m/>
    <s v="No"/>
    <s v="YES"/>
    <s v="YES"/>
    <s v="No"/>
    <s v="No"/>
    <s v="None"/>
    <s v="YES"/>
    <s v="YES"/>
    <s v="YES"/>
    <m/>
    <m/>
  </r>
  <r>
    <s v="Saiamruta Revankar"/>
    <n v="8.1"/>
    <s v="0.5 - 1.5"/>
    <x v="7"/>
    <s v="UK"/>
    <s v="6 - 18 mnths"/>
    <s v="18+ mnths"/>
    <s v="6 - 18 mnths"/>
    <s v="18+ mnths"/>
    <s v="18+ Months"/>
    <s v="18+ Months"/>
    <s v="18+ Months"/>
    <m/>
    <s v="18+ mnths"/>
    <s v="18+ mnths"/>
    <s v="18+ Months"/>
    <s v="18+ mnths"/>
    <s v="Less than 6 Months"/>
    <m/>
    <m/>
    <s v="6 - 18 Months"/>
    <s v="No"/>
    <s v="No"/>
    <s v="No"/>
    <s v="YES"/>
    <s v="No"/>
    <s v="None"/>
    <s v="YES"/>
    <m/>
    <m/>
    <s v="YES"/>
    <m/>
  </r>
  <r>
    <s v="Magaji Sridhar Anilkumar"/>
    <m/>
    <s v="10+"/>
    <x v="8"/>
    <s v="USA;AUS"/>
    <s v="No Experience"/>
    <s v="18+ mnths"/>
    <s v="6 - 18 mnths"/>
    <s v="6 - 18 mnths"/>
    <s v="6 - 18 Months"/>
    <s v="0-6 months"/>
    <m/>
    <m/>
    <m/>
    <m/>
    <m/>
    <s v="0-6 months"/>
    <s v="6 - 18 Months"/>
    <s v="6 - 18 Months"/>
    <s v="0-6 months"/>
    <s v="0-6 months"/>
    <m/>
    <m/>
    <m/>
    <m/>
    <m/>
    <s v="YES"/>
    <s v="YES"/>
    <s v="YES"/>
    <s v="YES"/>
    <s v="YES"/>
    <s v="Yes"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s v="5-7"/>
    <x v="0"/>
  </r>
  <r>
    <s v="8-10"/>
    <x v="1"/>
  </r>
  <r>
    <s v="7-8"/>
    <x v="0"/>
  </r>
  <r>
    <s v="3-5"/>
    <x v="2"/>
  </r>
  <r>
    <s v="1.5 - 3"/>
    <x v="3"/>
  </r>
  <r>
    <s v="0.5 - 1.5"/>
    <x v="1"/>
  </r>
  <r>
    <s v="3-5"/>
    <x v="4"/>
  </r>
  <r>
    <s v="3-5"/>
    <x v="1"/>
  </r>
  <r>
    <s v="0.5 - 1.5"/>
    <x v="1"/>
  </r>
  <r>
    <s v="3-5"/>
    <x v="1"/>
  </r>
  <r>
    <s v="7-8"/>
    <x v="1"/>
  </r>
  <r>
    <s v="7-8"/>
    <x v="1"/>
  </r>
  <r>
    <s v="5-7"/>
    <x v="2"/>
  </r>
  <r>
    <s v="7-8"/>
    <x v="5"/>
  </r>
  <r>
    <s v="3-5"/>
    <x v="6"/>
  </r>
  <r>
    <s v="3-5"/>
    <x v="1"/>
  </r>
  <r>
    <s v="0.5 - 1.5"/>
    <x v="1"/>
  </r>
  <r>
    <s v="5-7"/>
    <x v="2"/>
  </r>
  <r>
    <s v="3-5"/>
    <x v="1"/>
  </r>
  <r>
    <s v="3-5"/>
    <x v="1"/>
  </r>
  <r>
    <s v="3-5"/>
    <x v="1"/>
  </r>
  <r>
    <s v="3-5"/>
    <x v="1"/>
  </r>
  <r>
    <s v="3-5"/>
    <x v="1"/>
  </r>
  <r>
    <s v="1.5 - 3"/>
    <x v="1"/>
  </r>
  <r>
    <s v="7-8"/>
    <x v="1"/>
  </r>
  <r>
    <s v="3-5"/>
    <x v="1"/>
  </r>
  <r>
    <s v="10+"/>
    <x v="1"/>
  </r>
  <r>
    <s v="1.5 - 3"/>
    <x v="1"/>
  </r>
  <r>
    <s v="0.5 - 1.5"/>
    <x v="1"/>
  </r>
  <r>
    <s v="1.5 - 3"/>
    <x v="1"/>
  </r>
  <r>
    <s v="5-7"/>
    <x v="1"/>
  </r>
  <r>
    <s v="1.5 - 3"/>
    <x v="0"/>
  </r>
  <r>
    <s v="7-8"/>
    <x v="1"/>
  </r>
  <r>
    <s v="3-5"/>
    <x v="1"/>
  </r>
  <r>
    <s v="3-5"/>
    <x v="1"/>
  </r>
  <r>
    <s v="0.5"/>
    <x v="2"/>
  </r>
  <r>
    <s v="1.5 - 3"/>
    <x v="1"/>
  </r>
  <r>
    <s v="3-5"/>
    <x v="1"/>
  </r>
  <r>
    <s v="5-7"/>
    <x v="5"/>
  </r>
  <r>
    <s v="1.5 - 3"/>
    <x v="1"/>
  </r>
  <r>
    <s v="0.5"/>
    <x v="0"/>
  </r>
  <r>
    <s v="1.5 - 3"/>
    <x v="2"/>
  </r>
  <r>
    <s v="1.5 - 3"/>
    <x v="1"/>
  </r>
  <r>
    <s v="3-5"/>
    <x v="1"/>
  </r>
  <r>
    <s v="5-7"/>
    <x v="5"/>
  </r>
  <r>
    <s v="10+"/>
    <x v="7"/>
  </r>
  <r>
    <s v="0.5 - 1.5"/>
    <x v="4"/>
  </r>
  <r>
    <s v="1.5 - 3"/>
    <x v="1"/>
  </r>
  <r>
    <s v="1.5 - 3"/>
    <x v="1"/>
  </r>
  <r>
    <s v="0.5 - 1.5"/>
    <x v="1"/>
  </r>
  <r>
    <s v="1.5 - 3"/>
    <x v="1"/>
  </r>
  <r>
    <s v="3-5"/>
    <x v="1"/>
  </r>
  <r>
    <s v="5-7"/>
    <x v="1"/>
  </r>
  <r>
    <s v="3-5"/>
    <x v="1"/>
  </r>
  <r>
    <s v="3-5"/>
    <x v="1"/>
  </r>
  <r>
    <s v="0.5 - 1.5"/>
    <x v="1"/>
  </r>
  <r>
    <s v="10+"/>
    <x v="1"/>
  </r>
  <r>
    <s v="1.5 - 3"/>
    <x v="1"/>
  </r>
  <r>
    <s v="3-5"/>
    <x v="1"/>
  </r>
  <r>
    <s v="0.5 - 1.5"/>
    <x v="1"/>
  </r>
  <r>
    <s v="3-5"/>
    <x v="1"/>
  </r>
  <r>
    <s v="1.5 - 3"/>
    <x v="1"/>
  </r>
  <r>
    <s v="1.5 - 3"/>
    <x v="1"/>
  </r>
  <r>
    <s v="3-5"/>
    <x v="1"/>
  </r>
  <r>
    <s v="1.5 - 3"/>
    <x v="1"/>
  </r>
  <r>
    <s v="0.5 - 1.5"/>
    <x v="4"/>
  </r>
  <r>
    <s v="1.5 - 3"/>
    <x v="8"/>
  </r>
  <r>
    <s v="0.5 - 1.5"/>
    <x v="1"/>
  </r>
  <r>
    <s v="3-5"/>
    <x v="1"/>
  </r>
  <r>
    <s v="1.5 - 3"/>
    <x v="1"/>
  </r>
  <r>
    <s v="10+"/>
    <x v="4"/>
  </r>
  <r>
    <s v="1.5 - 3"/>
    <x v="1"/>
  </r>
  <r>
    <s v="1.5 - 3"/>
    <x v="1"/>
  </r>
  <r>
    <s v="1.5 - 3"/>
    <x v="1"/>
  </r>
  <r>
    <s v="1.5 - 3"/>
    <x v="1"/>
  </r>
  <r>
    <s v="3-5"/>
    <x v="1"/>
  </r>
  <r>
    <s v="1.5 - 3"/>
    <x v="1"/>
  </r>
  <r>
    <s v="1.5 - 3"/>
    <x v="8"/>
  </r>
  <r>
    <s v="3-5"/>
    <x v="1"/>
  </r>
  <r>
    <s v="1.5 - 3"/>
    <x v="1"/>
  </r>
  <r>
    <s v="1.5 - 3"/>
    <x v="4"/>
  </r>
  <r>
    <s v="3-5"/>
    <x v="0"/>
  </r>
  <r>
    <s v="3-5"/>
    <x v="1"/>
  </r>
  <r>
    <s v="1.5 - 3"/>
    <x v="1"/>
  </r>
  <r>
    <s v="1.5 - 3"/>
    <x v="1"/>
  </r>
  <r>
    <s v="3-5"/>
    <x v="1"/>
  </r>
  <r>
    <s v="1.5 - 3"/>
    <x v="1"/>
  </r>
  <r>
    <s v="1.5 - 3"/>
    <x v="1"/>
  </r>
  <r>
    <s v="1.5 - 3"/>
    <x v="1"/>
  </r>
  <r>
    <s v="5-7"/>
    <x v="1"/>
  </r>
  <r>
    <s v="1.5 - 3"/>
    <x v="1"/>
  </r>
  <r>
    <s v="1.5 - 3"/>
    <x v="1"/>
  </r>
  <r>
    <s v="1.5 - 3"/>
    <x v="9"/>
  </r>
  <r>
    <s v="0.5 - 1.5"/>
    <x v="1"/>
  </r>
  <r>
    <s v="1.5 - 3"/>
    <x v="1"/>
  </r>
  <r>
    <s v="0.5 - 1.5"/>
    <x v="1"/>
  </r>
  <r>
    <s v="1.5 - 3"/>
    <x v="1"/>
  </r>
  <r>
    <s v="1.5 - 3"/>
    <x v="1"/>
  </r>
  <r>
    <s v="3-5"/>
    <x v="1"/>
  </r>
  <r>
    <s v="5-7"/>
    <x v="1"/>
  </r>
  <r>
    <s v="1.5 - 3"/>
    <x v="1"/>
  </r>
  <r>
    <s v="3-5"/>
    <x v="1"/>
  </r>
  <r>
    <s v="0.5 - 1.5"/>
    <x v="1"/>
  </r>
  <r>
    <s v="1.5 - 3"/>
    <x v="1"/>
  </r>
  <r>
    <s v="3-5"/>
    <x v="1"/>
  </r>
  <r>
    <s v="1.5 - 3"/>
    <x v="1"/>
  </r>
  <r>
    <s v="1.5 - 3"/>
    <x v="1"/>
  </r>
  <r>
    <s v="3-5"/>
    <x v="1"/>
  </r>
  <r>
    <s v="1.5 - 3"/>
    <x v="1"/>
  </r>
  <r>
    <s v="3-5"/>
    <x v="1"/>
  </r>
  <r>
    <s v="1.5 - 3"/>
    <x v="1"/>
  </r>
  <r>
    <s v="1.5 - 3"/>
    <x v="1"/>
  </r>
  <r>
    <s v="1.5 - 3"/>
    <x v="1"/>
  </r>
  <r>
    <s v="0.5 - 1.5"/>
    <x v="10"/>
  </r>
  <r>
    <s v="3-5"/>
    <x v="1"/>
  </r>
  <r>
    <s v="1.5 - 3"/>
    <x v="1"/>
  </r>
  <r>
    <s v="3-5"/>
    <x v="1"/>
  </r>
  <r>
    <s v="1.5 - 3"/>
    <x v="1"/>
  </r>
  <r>
    <s v="0.5 - 1.5"/>
    <x v="1"/>
  </r>
  <r>
    <s v="1.5 - 3"/>
    <x v="1"/>
  </r>
  <r>
    <s v="3-5"/>
    <x v="1"/>
  </r>
  <r>
    <s v="3-5"/>
    <x v="1"/>
  </r>
  <r>
    <s v="3-5"/>
    <x v="1"/>
  </r>
  <r>
    <s v="3-5"/>
    <x v="1"/>
  </r>
  <r>
    <s v="1.5 - 3"/>
    <x v="0"/>
  </r>
  <r>
    <s v="1.5 - 3"/>
    <x v="1"/>
  </r>
  <r>
    <s v="1.5 - 3"/>
    <x v="1"/>
  </r>
  <r>
    <s v="3-5"/>
    <x v="1"/>
  </r>
  <r>
    <s v="8-10"/>
    <x v="0"/>
  </r>
  <r>
    <s v="8-10"/>
    <x v="0"/>
  </r>
  <r>
    <s v="1.5 - 3"/>
    <x v="1"/>
  </r>
  <r>
    <s v="3-5"/>
    <x v="1"/>
  </r>
  <r>
    <s v="1.5 - 3"/>
    <x v="1"/>
  </r>
  <r>
    <s v="1.5 - 3"/>
    <x v="1"/>
  </r>
  <r>
    <s v="1.5 - 3"/>
    <x v="1"/>
  </r>
  <r>
    <s v="0.5 - 1.5"/>
    <x v="0"/>
  </r>
  <r>
    <s v="3-5"/>
    <x v="11"/>
  </r>
  <r>
    <s v="8-10"/>
    <x v="5"/>
  </r>
  <r>
    <s v="10+"/>
    <x v="1"/>
  </r>
  <r>
    <s v="10+"/>
    <x v="1"/>
  </r>
  <r>
    <s v="10+"/>
    <x v="1"/>
  </r>
  <r>
    <s v="1.5 - 3"/>
    <x v="1"/>
  </r>
  <r>
    <s v="3 - 5"/>
    <x v="12"/>
  </r>
  <r>
    <s v="8-10"/>
    <x v="0"/>
  </r>
  <r>
    <s v="5-7"/>
    <x v="2"/>
  </r>
  <r>
    <s v="3-5"/>
    <x v="1"/>
  </r>
  <r>
    <s v="8-10"/>
    <x v="1"/>
  </r>
  <r>
    <s v="5-7"/>
    <x v="1"/>
  </r>
  <r>
    <s v="5-7"/>
    <x v="1"/>
  </r>
  <r>
    <s v="7-8"/>
    <x v="1"/>
  </r>
  <r>
    <s v="5-7"/>
    <x v="0"/>
  </r>
  <r>
    <s v="10+"/>
    <x v="1"/>
  </r>
  <r>
    <s v="8-10"/>
    <x v="1"/>
  </r>
  <r>
    <s v="7-8"/>
    <x v="1"/>
  </r>
  <r>
    <s v="7-8"/>
    <x v="1"/>
  </r>
  <r>
    <s v="0.5 - 1.5"/>
    <x v="13"/>
  </r>
  <r>
    <s v="0.5 - 1.5"/>
    <x v="2"/>
  </r>
  <r>
    <s v="5-7"/>
    <x v="1"/>
  </r>
  <r>
    <s v="8-10"/>
    <x v="14"/>
  </r>
  <r>
    <s v="8-10"/>
    <x v="1"/>
  </r>
  <r>
    <s v="3-5"/>
    <x v="1"/>
  </r>
  <r>
    <s v="7-8"/>
    <x v="15"/>
  </r>
  <r>
    <s v="5-7"/>
    <x v="0"/>
  </r>
  <r>
    <s v="3-5"/>
    <x v="16"/>
  </r>
  <r>
    <s v="3-5"/>
    <x v="1"/>
  </r>
  <r>
    <s v="0.5 - 1.5"/>
    <x v="2"/>
  </r>
  <r>
    <s v="10+"/>
    <x v="17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  <r>
    <m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B0411-FE3B-4BB9-B6BB-DA38D9DE0DB7}" name="PivotTable1" cacheId="731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ARL">
  <location ref="B3:C13" firstHeaderRow="1" firstDataRow="1" firstDataCol="1"/>
  <pivotFields count="2">
    <pivotField dataField="1" showAll="0"/>
    <pivotField axis="axisRow" showAll="0">
      <items count="10">
        <item x="1"/>
        <item x="6"/>
        <item x="8"/>
        <item x="2"/>
        <item x="0"/>
        <item x="3"/>
        <item x="4"/>
        <item x="5"/>
        <item x="7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No of colleagues" fld="0" subtotal="count" baseField="0" baseItem="0"/>
  </dataFields>
  <formats count="56">
    <format dxfId="141">
      <pivotArea type="all" dataOnly="0" outline="0" fieldPosition="0"/>
    </format>
    <format dxfId="142">
      <pivotArea outline="0" collapsedLevelsAreSubtotals="1" fieldPosition="0"/>
    </format>
    <format dxfId="143">
      <pivotArea field="1" type="button" dataOnly="0" labelOnly="1" outline="0" axis="axisRow" fieldPosition="0"/>
    </format>
    <format dxfId="144">
      <pivotArea dataOnly="0" labelOnly="1" fieldPosition="0">
        <references count="1">
          <reference field="1" count="0"/>
        </references>
      </pivotArea>
    </format>
    <format dxfId="145">
      <pivotArea dataOnly="0" labelOnly="1" grandRow="1" outline="0" fieldPosition="0"/>
    </format>
    <format dxfId="146">
      <pivotArea dataOnly="0" labelOnly="1" outline="0" axis="axisValues" fieldPosition="0"/>
    </format>
    <format dxfId="147">
      <pivotArea type="all" dataOnly="0" outline="0" fieldPosition="0"/>
    </format>
    <format dxfId="148">
      <pivotArea outline="0" collapsedLevelsAreSubtotals="1" fieldPosition="0"/>
    </format>
    <format dxfId="149">
      <pivotArea field="1" type="button" dataOnly="0" labelOnly="1" outline="0" axis="axisRow" fieldPosition="0"/>
    </format>
    <format dxfId="150">
      <pivotArea dataOnly="0" labelOnly="1" fieldPosition="0">
        <references count="1">
          <reference field="1" count="0"/>
        </references>
      </pivotArea>
    </format>
    <format dxfId="151">
      <pivotArea dataOnly="0" labelOnly="1" grandRow="1" outline="0" fieldPosition="0"/>
    </format>
    <format dxfId="152">
      <pivotArea dataOnly="0" labelOnly="1" outline="0" axis="axisValues" fieldPosition="0"/>
    </format>
    <format dxfId="153">
      <pivotArea type="all" dataOnly="0" outline="0" fieldPosition="0"/>
    </format>
    <format dxfId="154">
      <pivotArea field="1" type="button" dataOnly="0" labelOnly="1" outline="0" axis="axisRow" fieldPosition="0"/>
    </format>
    <format dxfId="155">
      <pivotArea dataOnly="0" labelOnly="1" grandRow="1" outline="0" fieldPosition="0"/>
    </format>
    <format dxfId="156">
      <pivotArea dataOnly="0" labelOnly="1" outline="0" axis="axisValues" fieldPosition="0"/>
    </format>
    <format dxfId="157">
      <pivotArea field="1" type="button" dataOnly="0" labelOnly="1" outline="0" axis="axisRow" fieldPosition="0"/>
    </format>
    <format dxfId="158">
      <pivotArea dataOnly="0" labelOnly="1" outline="0" axis="axisValues" fieldPosition="0"/>
    </format>
    <format dxfId="159">
      <pivotArea grandRow="1" outline="0" collapsedLevelsAreSubtotals="1" fieldPosition="0"/>
    </format>
    <format dxfId="160">
      <pivotArea dataOnly="0" labelOnly="1" grandRow="1" outline="0" fieldPosition="0"/>
    </format>
    <format dxfId="161">
      <pivotArea type="all" dataOnly="0" outline="0" fieldPosition="0"/>
    </format>
    <format dxfId="162">
      <pivotArea outline="0" collapsedLevelsAreSubtotals="1" fieldPosition="0"/>
    </format>
    <format dxfId="163">
      <pivotArea field="1" type="button" dataOnly="0" labelOnly="1" outline="0" axis="axisRow" fieldPosition="0"/>
    </format>
    <format dxfId="164">
      <pivotArea dataOnly="0" labelOnly="1" fieldPosition="0">
        <references count="1">
          <reference field="1" count="0"/>
        </references>
      </pivotArea>
    </format>
    <format dxfId="165">
      <pivotArea dataOnly="0" labelOnly="1" grandRow="1" outline="0" fieldPosition="0"/>
    </format>
    <format dxfId="166">
      <pivotArea dataOnly="0" labelOnly="1" outline="0" axis="axisValues" fieldPosition="0"/>
    </format>
    <format dxfId="167">
      <pivotArea type="all" dataOnly="0" outline="0" fieldPosition="0"/>
    </format>
    <format dxfId="168">
      <pivotArea field="1" type="button" dataOnly="0" labelOnly="1" outline="0" axis="axisRow" fieldPosition="0"/>
    </format>
    <format dxfId="169">
      <pivotArea dataOnly="0" labelOnly="1" outline="0" axis="axisValues" fieldPosition="0"/>
    </format>
    <format dxfId="170">
      <pivotArea type="all" dataOnly="0" outline="0" fieldPosition="0"/>
    </format>
    <format dxfId="171">
      <pivotArea field="1" type="button" dataOnly="0" labelOnly="1" outline="0" axis="axisRow" fieldPosition="0"/>
    </format>
    <format dxfId="172">
      <pivotArea dataOnly="0" labelOnly="1" outline="0" axis="axisValues" fieldPosition="0"/>
    </format>
    <format dxfId="173">
      <pivotArea field="1" type="button" dataOnly="0" labelOnly="1" outline="0" axis="axisRow" fieldPosition="0"/>
    </format>
    <format dxfId="174">
      <pivotArea dataOnly="0" labelOnly="1" outline="0" axis="axisValues" fieldPosition="0"/>
    </format>
    <format dxfId="175">
      <pivotArea type="all" dataOnly="0" outline="0" fieldPosition="0"/>
    </format>
    <format dxfId="176">
      <pivotArea outline="0" collapsedLevelsAreSubtotals="1" fieldPosition="0"/>
    </format>
    <format dxfId="177">
      <pivotArea field="1" type="button" dataOnly="0" labelOnly="1" outline="0" axis="axisRow" fieldPosition="0"/>
    </format>
    <format dxfId="178">
      <pivotArea dataOnly="0" labelOnly="1" fieldPosition="0">
        <references count="1">
          <reference field="1" count="0"/>
        </references>
      </pivotArea>
    </format>
    <format dxfId="179">
      <pivotArea dataOnly="0" labelOnly="1" grandRow="1" outline="0" fieldPosition="0"/>
    </format>
    <format dxfId="180">
      <pivotArea dataOnly="0" labelOnly="1" outline="0" axis="axisValues" fieldPosition="0"/>
    </format>
    <format dxfId="181">
      <pivotArea type="all" dataOnly="0" outline="0" fieldPosition="0"/>
    </format>
    <format dxfId="182">
      <pivotArea outline="0" collapsedLevelsAreSubtotals="1" fieldPosition="0"/>
    </format>
    <format dxfId="183">
      <pivotArea field="1" type="button" dataOnly="0" labelOnly="1" outline="0" axis="axisRow" fieldPosition="0"/>
    </format>
    <format dxfId="184">
      <pivotArea dataOnly="0" labelOnly="1" fieldPosition="0">
        <references count="1">
          <reference field="1" count="0"/>
        </references>
      </pivotArea>
    </format>
    <format dxfId="185">
      <pivotArea dataOnly="0" labelOnly="1" grandRow="1" outline="0" fieldPosition="0"/>
    </format>
    <format dxfId="186">
      <pivotArea dataOnly="0" labelOnly="1" outline="0" axis="axisValues" fieldPosition="0"/>
    </format>
    <format dxfId="187">
      <pivotArea field="1" type="button" dataOnly="0" labelOnly="1" outline="0" axis="axisRow" fieldPosition="0"/>
    </format>
    <format dxfId="188">
      <pivotArea dataOnly="0" labelOnly="1" fieldPosition="0">
        <references count="1">
          <reference field="1" count="0"/>
        </references>
      </pivotArea>
    </format>
    <format dxfId="189">
      <pivotArea dataOnly="0" labelOnly="1" grandRow="1" outline="0" fieldPosition="0"/>
    </format>
    <format dxfId="190">
      <pivotArea type="all" dataOnly="0" outline="0" fieldPosition="0"/>
    </format>
    <format dxfId="191">
      <pivotArea outline="0" collapsedLevelsAreSubtotals="1" fieldPosition="0"/>
    </format>
    <format dxfId="192">
      <pivotArea field="1" type="button" dataOnly="0" labelOnly="1" outline="0" axis="axisRow" fieldPosition="0"/>
    </format>
    <format dxfId="193">
      <pivotArea dataOnly="0" labelOnly="1" fieldPosition="0">
        <references count="1">
          <reference field="1" count="0"/>
        </references>
      </pivotArea>
    </format>
    <format dxfId="194">
      <pivotArea dataOnly="0" labelOnly="1" grandRow="1" outline="0" fieldPosition="0"/>
    </format>
    <format dxfId="195">
      <pivotArea dataOnly="0" labelOnly="1" outline="0" axis="axisValues" fieldPosition="0"/>
    </format>
    <format dxfId="196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2124E-5D1B-457C-8512-2DFD9477EF49}" name="PivotTable4" cacheId="734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Location">
  <location ref="B16:C36" firstHeaderRow="1" firstDataRow="1" firstDataCol="1"/>
  <pivotFields count="2">
    <pivotField dataField="1" showAll="0"/>
    <pivotField axis="axisRow" showAll="0">
      <items count="23">
        <item m="1" x="21"/>
        <item x="3"/>
        <item x="2"/>
        <item x="5"/>
        <item m="1" x="19"/>
        <item m="1" x="20"/>
        <item x="1"/>
        <item x="18"/>
        <item x="0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1"/>
  </rowFields>
  <rowItems count="20">
    <i>
      <x v="1"/>
    </i>
    <i>
      <x v="2"/>
    </i>
    <i>
      <x v="3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Count of P&amp;C (yrs)" fld="0" subtotal="count" baseField="0" baseItem="0"/>
  </dataFields>
  <formats count="49">
    <format dxfId="92">
      <pivotArea type="all" dataOnly="0" outline="0" fieldPosition="0"/>
    </format>
    <format dxfId="93">
      <pivotArea outline="0" collapsedLevelsAreSubtotals="1" fieldPosition="0"/>
    </format>
    <format dxfId="94">
      <pivotArea dataOnly="0" labelOnly="1" grandRow="1" outline="0" fieldPosition="0"/>
    </format>
    <format dxfId="95">
      <pivotArea dataOnly="0" labelOnly="1" outline="0" axis="axisValues" fieldPosition="0"/>
    </format>
    <format dxfId="96">
      <pivotArea type="all" dataOnly="0" outline="0" fieldPosition="0"/>
    </format>
    <format dxfId="97">
      <pivotArea outline="0" collapsedLevelsAreSubtotals="1" fieldPosition="0"/>
    </format>
    <format dxfId="98">
      <pivotArea dataOnly="0" labelOnly="1" grandRow="1" outline="0" fieldPosition="0"/>
    </format>
    <format dxfId="99">
      <pivotArea dataOnly="0" labelOnly="1" outline="0" axis="axisValues" fieldPosition="0"/>
    </format>
    <format dxfId="100">
      <pivotArea field="1" type="button" dataOnly="0" labelOnly="1" outline="0" axis="axisRow" fieldPosition="0"/>
    </format>
    <format dxfId="101">
      <pivotArea dataOnly="0" labelOnly="1" outline="0" axis="axisValues" fieldPosition="0"/>
    </format>
    <format dxfId="102">
      <pivotArea grandRow="1" outline="0" collapsedLevelsAreSubtotals="1" fieldPosition="0"/>
    </format>
    <format dxfId="103">
      <pivotArea dataOnly="0" labelOnly="1" grandRow="1" outline="0" fieldPosition="0"/>
    </format>
    <format dxfId="104">
      <pivotArea type="all" dataOnly="0" outline="0" fieldPosition="0"/>
    </format>
    <format dxfId="105">
      <pivotArea outline="0" collapsedLevelsAreSubtotals="1" fieldPosition="0"/>
    </format>
    <format dxfId="106">
      <pivotArea field="1" type="button" dataOnly="0" labelOnly="1" outline="0" axis="axisRow" fieldPosition="0"/>
    </format>
    <format dxfId="107">
      <pivotArea dataOnly="0" labelOnly="1" fieldPosition="0">
        <references count="1">
          <reference field="1" count="0"/>
        </references>
      </pivotArea>
    </format>
    <format dxfId="108">
      <pivotArea dataOnly="0" labelOnly="1" grandRow="1" outline="0" fieldPosition="0"/>
    </format>
    <format dxfId="109">
      <pivotArea dataOnly="0" labelOnly="1" outline="0" axis="axisValues" fieldPosition="0"/>
    </format>
    <format dxfId="110">
      <pivotArea type="all" dataOnly="0" outline="0" fieldPosition="0"/>
    </format>
    <format dxfId="111">
      <pivotArea field="1" type="button" dataOnly="0" labelOnly="1" outline="0" axis="axisRow" fieldPosition="0"/>
    </format>
    <format dxfId="112">
      <pivotArea dataOnly="0" labelOnly="1" outline="0" axis="axisValues" fieldPosition="0"/>
    </format>
    <format dxfId="113">
      <pivotArea type="all" dataOnly="0" outline="0" fieldPosition="0"/>
    </format>
    <format dxfId="114">
      <pivotArea field="1" type="button" dataOnly="0" labelOnly="1" outline="0" axis="axisRow" fieldPosition="0"/>
    </format>
    <format dxfId="115">
      <pivotArea dataOnly="0" labelOnly="1" outline="0" axis="axisValues" fieldPosition="0"/>
    </format>
    <format dxfId="116">
      <pivotArea field="1" type="button" dataOnly="0" labelOnly="1" outline="0" axis="axisRow" fieldPosition="0"/>
    </format>
    <format dxfId="117">
      <pivotArea dataOnly="0" labelOnly="1" outline="0" axis="axisValues" fieldPosition="0"/>
    </format>
    <format dxfId="118">
      <pivotArea type="all" dataOnly="0" outline="0" fieldPosition="0"/>
    </format>
    <format dxfId="119">
      <pivotArea outline="0" collapsedLevelsAreSubtotals="1" fieldPosition="0"/>
    </format>
    <format dxfId="120">
      <pivotArea field="1" type="button" dataOnly="0" labelOnly="1" outline="0" axis="axisRow" fieldPosition="0"/>
    </format>
    <format dxfId="121">
      <pivotArea dataOnly="0" labelOnly="1" fieldPosition="0">
        <references count="1">
          <reference field="1" count="0"/>
        </references>
      </pivotArea>
    </format>
    <format dxfId="122">
      <pivotArea dataOnly="0" labelOnly="1" grandRow="1" outline="0" fieldPosition="0"/>
    </format>
    <format dxfId="123">
      <pivotArea dataOnly="0" labelOnly="1" outline="0" axis="axisValues" fieldPosition="0"/>
    </format>
    <format dxfId="124">
      <pivotArea type="all" dataOnly="0" outline="0" fieldPosition="0"/>
    </format>
    <format dxfId="125">
      <pivotArea outline="0" collapsedLevelsAreSubtotals="1" fieldPosition="0"/>
    </format>
    <format dxfId="126">
      <pivotArea field="1" type="button" dataOnly="0" labelOnly="1" outline="0" axis="axisRow" fieldPosition="0"/>
    </format>
    <format dxfId="127">
      <pivotArea dataOnly="0" labelOnly="1" fieldPosition="0">
        <references count="1">
          <reference field="1" count="0"/>
        </references>
      </pivotArea>
    </format>
    <format dxfId="128">
      <pivotArea dataOnly="0" labelOnly="1" grandRow="1" outline="0" fieldPosition="0"/>
    </format>
    <format dxfId="129">
      <pivotArea dataOnly="0" labelOnly="1" outline="0" axis="axisValues" fieldPosition="0"/>
    </format>
    <format dxfId="130">
      <pivotArea field="1" type="button" dataOnly="0" labelOnly="1" outline="0" axis="axisRow" fieldPosition="0"/>
    </format>
    <format dxfId="131">
      <pivotArea dataOnly="0" labelOnly="1" fieldPosition="0">
        <references count="1">
          <reference field="1" count="0"/>
        </references>
      </pivotArea>
    </format>
    <format dxfId="132">
      <pivotArea dataOnly="0" labelOnly="1" grandRow="1" outline="0" fieldPosition="0"/>
    </format>
    <format dxfId="133">
      <pivotArea type="all" dataOnly="0" outline="0" fieldPosition="0"/>
    </format>
    <format dxfId="134">
      <pivotArea outline="0" collapsedLevelsAreSubtotals="1" fieldPosition="0"/>
    </format>
    <format dxfId="135">
      <pivotArea field="1" type="button" dataOnly="0" labelOnly="1" outline="0" axis="axisRow" fieldPosition="0"/>
    </format>
    <format dxfId="136">
      <pivotArea dataOnly="0" labelOnly="1" fieldPosition="0">
        <references count="1">
          <reference field="1" count="0"/>
        </references>
      </pivotArea>
    </format>
    <format dxfId="137">
      <pivotArea dataOnly="0" labelOnly="1" grandRow="1" outline="0" fieldPosition="0"/>
    </format>
    <format dxfId="138">
      <pivotArea dataOnly="0" labelOnly="1" outline="0" axis="axisValues" fieldPosition="0"/>
    </format>
    <format dxfId="139">
      <pivotArea grandRow="1" outline="0" collapsedLevelsAreSubtotals="1" fieldPosition="0"/>
    </format>
    <format dxfId="14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A46A1-FF95-4016-8EA2-5FB36A7717FE}" name="PivotTable3" cacheId="733" applyNumberFormats="0" applyBorderFormats="0" applyFontFormats="0" applyPatternFormats="0" applyAlignmentFormats="0" applyWidthHeightFormats="1" dataCaption="Values" grandTotalCaption="Total" updatedVersion="8" minRefreshableVersion="3" asteriskTotals="1" useAutoFormatting="1" itemPrintTitles="1" createdVersion="8" indent="0" outline="1" outlineData="1" multipleFieldFilters="0" rowHeaderCaption="Exp in Years">
  <location ref="H3:I13" firstHeaderRow="1" firstDataRow="1" firstDataCol="1"/>
  <pivotFields count="32">
    <pivotField showAll="0"/>
    <pivotField dataField="1" showAll="0"/>
    <pivotField showAll="0"/>
    <pivotField axis="axisRow" showAll="0">
      <items count="15">
        <item x="7"/>
        <item x="6"/>
        <item x="5"/>
        <item x="2"/>
        <item x="4"/>
        <item x="3"/>
        <item h="1" x="1"/>
        <item h="1" x="0"/>
        <item x="8"/>
        <item x="9"/>
        <item m="1" x="11"/>
        <item m="1" x="12"/>
        <item x="10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8"/>
    </i>
    <i>
      <x v="9"/>
    </i>
    <i>
      <x v="12"/>
    </i>
    <i t="grand">
      <x/>
    </i>
  </rowItems>
  <colItems count="1">
    <i/>
  </colItems>
  <dataFields count="1">
    <dataField name="No of Colleagues" fld="1" subtotal="count" baseField="3" baseItem="0"/>
  </dataFields>
  <formats count="39">
    <format dxfId="53">
      <pivotArea type="all" dataOnly="0" outline="0" fieldPosition="0"/>
    </format>
    <format dxfId="54">
      <pivotArea outline="0" collapsedLevelsAreSubtotals="1" fieldPosition="0"/>
    </format>
    <format dxfId="55">
      <pivotArea dataOnly="0" labelOnly="1" grandRow="1" outline="0" fieldPosition="0"/>
    </format>
    <format dxfId="56">
      <pivotArea dataOnly="0" labelOnly="1" outline="0" axis="axisValues" fieldPosition="0"/>
    </format>
    <format dxfId="57">
      <pivotArea type="all" dataOnly="0" outline="0" fieldPosition="0"/>
    </format>
    <format dxfId="58">
      <pivotArea outline="0" collapsedLevelsAreSubtotals="1" fieldPosition="0"/>
    </format>
    <format dxfId="59">
      <pivotArea dataOnly="0" labelOnly="1" grandRow="1" outline="0" fieldPosition="0"/>
    </format>
    <format dxfId="60">
      <pivotArea dataOnly="0" labelOnly="1" outline="0" axis="axisValues" fieldPosition="0"/>
    </format>
    <format dxfId="61">
      <pivotArea dataOnly="0" labelOnly="1" outline="0" axis="axisValues" fieldPosition="0"/>
    </format>
    <format dxfId="62">
      <pivotArea grandRow="1" outline="0" collapsedLevelsAreSubtotals="1" fieldPosition="0"/>
    </format>
    <format dxfId="63">
      <pivotArea dataOnly="0" labelOnly="1" grandRow="1" outline="0" fieldPosition="0"/>
    </format>
    <format dxfId="64">
      <pivotArea type="all" dataOnly="0" outline="0" fieldPosition="0"/>
    </format>
    <format dxfId="65">
      <pivotArea outline="0" collapsedLevelsAreSubtotals="1" fieldPosition="0"/>
    </format>
    <format dxfId="66">
      <pivotArea dataOnly="0" labelOnly="1" grandRow="1" outline="0" fieldPosition="0"/>
    </format>
    <format dxfId="67">
      <pivotArea dataOnly="0" labelOnly="1" outline="0" axis="axisValues" fieldPosition="0"/>
    </format>
    <format dxfId="68">
      <pivotArea type="all" dataOnly="0" outline="0" fieldPosition="0"/>
    </format>
    <format dxfId="69">
      <pivotArea dataOnly="0" labelOnly="1" outline="0" axis="axisValues" fieldPosition="0"/>
    </format>
    <format dxfId="70">
      <pivotArea type="all" dataOnly="0" outline="0" fieldPosition="0"/>
    </format>
    <format dxfId="71">
      <pivotArea dataOnly="0" labelOnly="1" outline="0" axis="axisValues" fieldPosition="0"/>
    </format>
    <format dxfId="72">
      <pivotArea dataOnly="0" labelOnly="1" outline="0" axis="axisValues" fieldPosition="0"/>
    </format>
    <format dxfId="73">
      <pivotArea type="all" dataOnly="0" outline="0" fieldPosition="0"/>
    </format>
    <format dxfId="74">
      <pivotArea outline="0" collapsedLevelsAreSubtotals="1" fieldPosition="0"/>
    </format>
    <format dxfId="75">
      <pivotArea dataOnly="0" labelOnly="1" grandRow="1" outline="0" fieldPosition="0"/>
    </format>
    <format dxfId="76">
      <pivotArea dataOnly="0" labelOnly="1" outline="0" axis="axisValues" fieldPosition="0"/>
    </format>
    <format dxfId="77">
      <pivotArea type="all" dataOnly="0" outline="0" fieldPosition="0"/>
    </format>
    <format dxfId="78">
      <pivotArea outline="0" collapsedLevelsAreSubtotals="1" fieldPosition="0"/>
    </format>
    <format dxfId="79">
      <pivotArea dataOnly="0" labelOnly="1" grandRow="1" outline="0" fieldPosition="0"/>
    </format>
    <format dxfId="80">
      <pivotArea dataOnly="0" labelOnly="1" outline="0" axis="axisValues" fieldPosition="0"/>
    </format>
    <format dxfId="81">
      <pivotArea type="all" dataOnly="0" outline="0" fieldPosition="0"/>
    </format>
    <format dxfId="82">
      <pivotArea outline="0" collapsedLevelsAreSubtotals="1" fieldPosition="0"/>
    </format>
    <format dxfId="83">
      <pivotArea dataOnly="0" labelOnly="1" grandRow="1" outline="0" fieldPosition="0"/>
    </format>
    <format dxfId="84">
      <pivotArea dataOnly="0" labelOnly="1" outline="0" axis="axisValues" fieldPosition="0"/>
    </format>
    <format dxfId="85">
      <pivotArea dataOnly="0" labelOnly="1" grandRow="1" outline="0" fieldPosition="0"/>
    </format>
    <format dxfId="86">
      <pivotArea grandRow="1" outline="0" collapsedLevelsAreSubtotals="1" fieldPosition="0"/>
    </format>
    <format dxfId="87">
      <pivotArea dataOnly="0" labelOnly="1" grandRow="1" outline="0" fieldPosition="0"/>
    </format>
    <format dxfId="88">
      <pivotArea field="3" type="button" dataOnly="0" labelOnly="1" outline="0" axis="axisRow" fieldPosition="0"/>
    </format>
    <format dxfId="89">
      <pivotArea field="3" type="button" dataOnly="0" labelOnly="1" outline="0" axis="axisRow" fieldPosition="0"/>
    </format>
    <format dxfId="90">
      <pivotArea dataOnly="0" labelOnly="1" fieldPosition="0">
        <references count="1">
          <reference field="3" count="0"/>
        </references>
      </pivotArea>
    </format>
    <format dxfId="91">
      <pivotArea field="3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A508D-2501-4770-AAE4-AC1CFF011A02}" name="PivotTable2" cacheId="732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Overall Exp in years">
  <location ref="E3:F12" firstHeaderRow="1" firstDataRow="1" firstDataCol="1"/>
  <pivotFields count="32">
    <pivotField dataField="1" showAll="0"/>
    <pivotField showAll="0"/>
    <pivotField axis="axisRow" showAll="0">
      <items count="11">
        <item x="7"/>
        <item x="3"/>
        <item x="4"/>
        <item x="5"/>
        <item x="6"/>
        <item x="2"/>
        <item h="1" x="1"/>
        <item h="1" x="0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8"/>
    </i>
    <i>
      <x v="9"/>
    </i>
    <i t="grand">
      <x/>
    </i>
  </rowItems>
  <colItems count="1">
    <i/>
  </colItems>
  <dataFields count="1">
    <dataField name="No of colleagues" fld="0" subtotal="count" baseField="0" baseItem="0"/>
  </dataFields>
  <formats count="53">
    <format dxfId="0">
      <pivotArea type="all" dataOnly="0" outline="0" fieldPosition="0"/>
    </format>
    <format dxfId="1">
      <pivotArea outline="0" collapsedLevelsAreSubtotals="1" fieldPosition="0"/>
    </format>
    <format dxfId="2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2" type="button" dataOnly="0" labelOnly="1" outline="0" axis="axisRow" fieldPosition="0"/>
    </format>
    <format dxfId="9">
      <pivotArea dataOnly="0" labelOnly="1" fieldPosition="0">
        <references count="1">
          <reference field="2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  <format dxfId="12">
      <pivotArea field="2" type="button" dataOnly="0" labelOnly="1" outline="0" axis="axisRow" fieldPosition="0"/>
    </format>
    <format dxfId="13">
      <pivotArea dataOnly="0" labelOnly="1" outline="0" axis="axisValues" fieldPosition="0"/>
    </format>
    <format dxfId="14">
      <pivotArea grandRow="1" outline="0" collapsedLevelsAreSubtotals="1" fieldPosition="0"/>
    </format>
    <format dxfId="15">
      <pivotArea dataOnly="0" labelOnly="1" grandRow="1" outline="0" fieldPosition="0"/>
    </format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2" type="button" dataOnly="0" labelOnly="1" outline="0" axis="axisRow" fieldPosition="0"/>
    </format>
    <format dxfId="19">
      <pivotArea dataOnly="0" labelOnly="1" fieldPosition="0">
        <references count="1">
          <reference field="2" count="0"/>
        </references>
      </pivotArea>
    </format>
    <format dxfId="20">
      <pivotArea dataOnly="0" labelOnly="1" grandRow="1" outline="0" fieldPosition="0"/>
    </format>
    <format dxfId="21">
      <pivotArea dataOnly="0" labelOnly="1" outline="0" axis="axisValues" fieldPosition="0"/>
    </format>
    <format dxfId="22">
      <pivotArea type="all" dataOnly="0" outline="0" fieldPosition="0"/>
    </format>
    <format dxfId="23">
      <pivotArea field="2" type="button" dataOnly="0" labelOnly="1" outline="0" axis="axisRow" fieldPosition="0"/>
    </format>
    <format dxfId="24">
      <pivotArea dataOnly="0" labelOnly="1" outline="0" axis="axisValues" fieldPosition="0"/>
    </format>
    <format dxfId="25">
      <pivotArea type="all" dataOnly="0" outline="0" fieldPosition="0"/>
    </format>
    <format dxfId="26">
      <pivotArea field="2" type="button" dataOnly="0" labelOnly="1" outline="0" axis="axisRow" fieldPosition="0"/>
    </format>
    <format dxfId="27">
      <pivotArea dataOnly="0" labelOnly="1" outline="0" axis="axisValues" fieldPosition="0"/>
    </format>
    <format dxfId="28">
      <pivotArea field="2" type="button" dataOnly="0" labelOnly="1" outline="0" axis="axisRow" fieldPosition="0"/>
    </format>
    <format dxfId="29">
      <pivotArea dataOnly="0" labelOnly="1" outline="0" axis="axisValues" fieldPosition="0"/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2" type="button" dataOnly="0" labelOnly="1" outline="0" axis="axisRow" fieldPosition="0"/>
    </format>
    <format dxfId="33">
      <pivotArea dataOnly="0" labelOnly="1" fieldPosition="0">
        <references count="1">
          <reference field="2" count="0"/>
        </references>
      </pivotArea>
    </format>
    <format dxfId="34">
      <pivotArea dataOnly="0" labelOnly="1" grandRow="1" outline="0" fieldPosition="0"/>
    </format>
    <format dxfId="35">
      <pivotArea dataOnly="0" labelOnly="1" outline="0" axis="axisValues" fieldPosition="0"/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2" type="button" dataOnly="0" labelOnly="1" outline="0" axis="axisRow" fieldPosition="0"/>
    </format>
    <format dxfId="39">
      <pivotArea dataOnly="0" labelOnly="1" fieldPosition="0">
        <references count="1">
          <reference field="2" count="0"/>
        </references>
      </pivotArea>
    </format>
    <format dxfId="40">
      <pivotArea dataOnly="0" labelOnly="1" grandRow="1" outline="0" fieldPosition="0"/>
    </format>
    <format dxfId="41">
      <pivotArea dataOnly="0" labelOnly="1" outline="0" axis="axisValues" fieldPosition="0"/>
    </format>
    <format dxfId="42">
      <pivotArea field="2" type="button" dataOnly="0" labelOnly="1" outline="0" axis="axisRow" fieldPosition="0"/>
    </format>
    <format dxfId="43">
      <pivotArea dataOnly="0" labelOnly="1" fieldPosition="0">
        <references count="1">
          <reference field="2" count="0"/>
        </references>
      </pivotArea>
    </format>
    <format dxfId="44">
      <pivotArea dataOnly="0" labelOnly="1" grandRow="1" outline="0" fieldPosition="0"/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field="2" type="button" dataOnly="0" labelOnly="1" outline="0" axis="axisRow" fieldPosition="0"/>
    </format>
    <format dxfId="48">
      <pivotArea dataOnly="0" labelOnly="1" fieldPosition="0">
        <references count="1">
          <reference field="2" count="0"/>
        </references>
      </pivotArea>
    </format>
    <format dxfId="49">
      <pivotArea dataOnly="0" labelOnly="1" grandRow="1" outline="0" fieldPosition="0"/>
    </format>
    <format dxfId="50">
      <pivotArea dataOnly="0" labelOnly="1" outline="0" axis="axisValues" fieldPosition="0"/>
    </format>
    <format dxfId="51">
      <pivotArea grandRow="1" outline="0" collapsedLevelsAreSubtotals="1" fieldPosition="0"/>
    </format>
    <format dxfId="5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2F11-5CC5-473C-82ED-469B1D5FA864}">
  <dimension ref="A1:F75"/>
  <sheetViews>
    <sheetView zoomScale="70" zoomScaleNormal="60" workbookViewId="0">
      <selection activeCell="C36" sqref="C36:E43"/>
    </sheetView>
  </sheetViews>
  <sheetFormatPr defaultColWidth="8.85546875" defaultRowHeight="14.1"/>
  <cols>
    <col min="1" max="1" width="3.7109375" style="5" customWidth="1"/>
    <col min="2" max="4" width="47.5703125" style="5" customWidth="1"/>
    <col min="5" max="5" width="84.85546875" style="5" bestFit="1" customWidth="1"/>
    <col min="6" max="6" width="47.5703125" style="5" customWidth="1"/>
    <col min="7" max="16384" width="8.85546875" style="5"/>
  </cols>
  <sheetData>
    <row r="1" spans="1:6" ht="55.5" customHeight="1">
      <c r="A1" s="2"/>
      <c r="B1" s="3"/>
      <c r="C1" s="4"/>
      <c r="D1" s="4"/>
      <c r="E1" s="4"/>
      <c r="F1" s="4"/>
    </row>
    <row r="2" spans="1:6">
      <c r="A2" s="4"/>
      <c r="B2" s="306" t="s">
        <v>0</v>
      </c>
      <c r="C2" s="307"/>
      <c r="D2" s="310" t="s">
        <v>1</v>
      </c>
      <c r="E2" s="312" t="s">
        <v>2</v>
      </c>
      <c r="F2" s="4"/>
    </row>
    <row r="3" spans="1:6" ht="14.45" thickBot="1">
      <c r="A3" s="4"/>
      <c r="B3" s="308"/>
      <c r="C3" s="309"/>
      <c r="D3" s="311"/>
      <c r="E3" s="313"/>
      <c r="F3" s="4"/>
    </row>
    <row r="4" spans="1:6">
      <c r="A4" s="4"/>
      <c r="B4" s="314" t="s">
        <v>3</v>
      </c>
      <c r="C4" s="317" t="s">
        <v>4</v>
      </c>
      <c r="D4" s="320" t="s">
        <v>5</v>
      </c>
      <c r="E4" s="6" t="s">
        <v>6</v>
      </c>
      <c r="F4" s="4"/>
    </row>
    <row r="5" spans="1:6">
      <c r="A5" s="4"/>
      <c r="B5" s="315"/>
      <c r="C5" s="318"/>
      <c r="D5" s="321"/>
      <c r="E5" s="7" t="s">
        <v>7</v>
      </c>
      <c r="F5" s="4"/>
    </row>
    <row r="6" spans="1:6">
      <c r="A6" s="4"/>
      <c r="B6" s="315"/>
      <c r="C6" s="318"/>
      <c r="D6" s="321"/>
      <c r="E6" s="8" t="s">
        <v>7</v>
      </c>
      <c r="F6" s="4"/>
    </row>
    <row r="7" spans="1:6">
      <c r="A7" s="4"/>
      <c r="B7" s="315"/>
      <c r="C7" s="318"/>
      <c r="D7" s="321"/>
      <c r="E7" s="7" t="s">
        <v>8</v>
      </c>
      <c r="F7" s="4"/>
    </row>
    <row r="8" spans="1:6">
      <c r="A8" s="4"/>
      <c r="B8" s="315"/>
      <c r="C8" s="318"/>
      <c r="D8" s="321"/>
      <c r="E8" s="9" t="s">
        <v>9</v>
      </c>
      <c r="F8" s="4"/>
    </row>
    <row r="9" spans="1:6">
      <c r="A9" s="4"/>
      <c r="B9" s="315"/>
      <c r="C9" s="319"/>
      <c r="D9" s="322"/>
      <c r="E9" s="10"/>
      <c r="F9" s="4"/>
    </row>
    <row r="10" spans="1:6">
      <c r="A10" s="4"/>
      <c r="B10" s="315"/>
      <c r="C10" s="323" t="s">
        <v>10</v>
      </c>
      <c r="D10" s="324" t="s">
        <v>11</v>
      </c>
      <c r="E10" s="325" t="s">
        <v>12</v>
      </c>
      <c r="F10" s="4"/>
    </row>
    <row r="11" spans="1:6">
      <c r="A11" s="4"/>
      <c r="B11" s="315"/>
      <c r="C11" s="319"/>
      <c r="D11" s="322"/>
      <c r="E11" s="326"/>
      <c r="F11" s="4"/>
    </row>
    <row r="12" spans="1:6">
      <c r="A12" s="4"/>
      <c r="B12" s="315"/>
      <c r="C12" s="327" t="s">
        <v>13</v>
      </c>
      <c r="D12" s="324" t="s">
        <v>14</v>
      </c>
      <c r="E12" s="11" t="s">
        <v>15</v>
      </c>
      <c r="F12" s="4"/>
    </row>
    <row r="13" spans="1:6">
      <c r="A13" s="4"/>
      <c r="B13" s="315"/>
      <c r="C13" s="328"/>
      <c r="D13" s="321"/>
      <c r="E13" s="12"/>
      <c r="F13" s="4"/>
    </row>
    <row r="14" spans="1:6">
      <c r="A14" s="4"/>
      <c r="B14" s="315"/>
      <c r="C14" s="328"/>
      <c r="D14" s="321"/>
      <c r="E14" s="9" t="s">
        <v>16</v>
      </c>
      <c r="F14" s="4"/>
    </row>
    <row r="15" spans="1:6" ht="14.45" thickBot="1">
      <c r="A15" s="4"/>
      <c r="B15" s="316"/>
      <c r="C15" s="329"/>
      <c r="D15" s="330"/>
      <c r="E15" s="13"/>
      <c r="F15" s="4"/>
    </row>
    <row r="16" spans="1:6">
      <c r="A16" s="4"/>
      <c r="B16" s="314" t="s">
        <v>17</v>
      </c>
      <c r="C16" s="317" t="s">
        <v>18</v>
      </c>
      <c r="D16" s="331" t="s">
        <v>19</v>
      </c>
      <c r="E16" s="304" t="s">
        <v>20</v>
      </c>
      <c r="F16" s="4"/>
    </row>
    <row r="17" spans="1:6">
      <c r="A17" s="4"/>
      <c r="B17" s="315"/>
      <c r="C17" s="319"/>
      <c r="D17" s="332"/>
      <c r="E17" s="305"/>
      <c r="F17" s="4"/>
    </row>
    <row r="18" spans="1:6" ht="14.25" customHeight="1">
      <c r="A18" s="4"/>
      <c r="B18" s="315"/>
      <c r="C18" s="323" t="s">
        <v>21</v>
      </c>
      <c r="D18" s="335" t="s">
        <v>22</v>
      </c>
      <c r="E18" s="305" t="s">
        <v>23</v>
      </c>
      <c r="F18" s="4"/>
    </row>
    <row r="19" spans="1:6" ht="14.25" customHeight="1">
      <c r="A19" s="4"/>
      <c r="B19" s="315"/>
      <c r="C19" s="319"/>
      <c r="D19" s="336"/>
      <c r="E19" s="305"/>
      <c r="F19" s="4"/>
    </row>
    <row r="20" spans="1:6">
      <c r="A20" s="4"/>
      <c r="B20" s="315"/>
      <c r="C20" s="323" t="s">
        <v>24</v>
      </c>
      <c r="D20" s="334" t="s">
        <v>25</v>
      </c>
      <c r="E20" s="305" t="s">
        <v>26</v>
      </c>
      <c r="F20" s="4"/>
    </row>
    <row r="21" spans="1:6">
      <c r="A21" s="4"/>
      <c r="B21" s="315"/>
      <c r="C21" s="319"/>
      <c r="D21" s="332"/>
      <c r="E21" s="305"/>
      <c r="F21" s="4"/>
    </row>
    <row r="22" spans="1:6">
      <c r="A22" s="4"/>
      <c r="B22" s="315"/>
      <c r="C22" s="327" t="s">
        <v>27</v>
      </c>
      <c r="D22" s="334" t="s">
        <v>28</v>
      </c>
      <c r="E22" s="305" t="s">
        <v>29</v>
      </c>
      <c r="F22" s="4"/>
    </row>
    <row r="23" spans="1:6">
      <c r="A23" s="4"/>
      <c r="B23" s="315"/>
      <c r="C23" s="343"/>
      <c r="D23" s="332"/>
      <c r="E23" s="305"/>
      <c r="F23" s="4"/>
    </row>
    <row r="24" spans="1:6">
      <c r="A24" s="4"/>
      <c r="B24" s="315"/>
      <c r="C24" s="338" t="s">
        <v>30</v>
      </c>
      <c r="D24" s="340" t="s">
        <v>31</v>
      </c>
      <c r="E24" s="342" t="s">
        <v>32</v>
      </c>
      <c r="F24" s="4"/>
    </row>
    <row r="25" spans="1:6">
      <c r="A25" s="4"/>
      <c r="B25" s="315"/>
      <c r="C25" s="339"/>
      <c r="D25" s="341"/>
      <c r="E25" s="342"/>
      <c r="F25" s="4"/>
    </row>
    <row r="26" spans="1:6">
      <c r="A26" s="4"/>
      <c r="B26" s="315"/>
      <c r="C26" s="327" t="s">
        <v>33</v>
      </c>
      <c r="D26" s="334" t="s">
        <v>34</v>
      </c>
      <c r="E26" s="15"/>
      <c r="F26" s="4"/>
    </row>
    <row r="27" spans="1:6">
      <c r="A27" s="4"/>
      <c r="B27" s="315"/>
      <c r="C27" s="328"/>
      <c r="D27" s="333"/>
      <c r="E27" s="16"/>
      <c r="F27" s="4"/>
    </row>
    <row r="28" spans="1:6">
      <c r="A28" s="4"/>
      <c r="B28" s="315"/>
      <c r="C28" s="328"/>
      <c r="D28" s="333"/>
      <c r="E28" s="15"/>
      <c r="F28" s="4"/>
    </row>
    <row r="29" spans="1:6">
      <c r="A29" s="4"/>
      <c r="B29" s="315"/>
      <c r="C29" s="328"/>
      <c r="D29" s="333"/>
      <c r="E29" s="15" t="s">
        <v>35</v>
      </c>
      <c r="F29" s="4"/>
    </row>
    <row r="30" spans="1:6">
      <c r="A30" s="4"/>
      <c r="B30" s="315"/>
      <c r="C30" s="328"/>
      <c r="D30" s="333"/>
      <c r="E30" s="15" t="s">
        <v>36</v>
      </c>
      <c r="F30" s="4"/>
    </row>
    <row r="31" spans="1:6">
      <c r="A31" s="4"/>
      <c r="B31" s="315"/>
      <c r="C31" s="328"/>
      <c r="D31" s="333"/>
      <c r="E31" s="17"/>
      <c r="F31" s="4"/>
    </row>
    <row r="32" spans="1:6">
      <c r="A32" s="4"/>
      <c r="B32" s="315"/>
      <c r="C32" s="328"/>
      <c r="D32" s="333"/>
      <c r="E32" s="14"/>
      <c r="F32" s="4"/>
    </row>
    <row r="33" spans="1:6">
      <c r="A33" s="4"/>
      <c r="B33" s="315"/>
      <c r="C33" s="328"/>
      <c r="D33" s="333"/>
      <c r="E33" s="17"/>
      <c r="F33" s="4"/>
    </row>
    <row r="34" spans="1:6">
      <c r="A34" s="4"/>
      <c r="B34" s="315"/>
      <c r="C34" s="328"/>
      <c r="D34" s="333"/>
      <c r="E34" s="14"/>
      <c r="F34" s="4"/>
    </row>
    <row r="35" spans="1:6" ht="14.45" thickBot="1">
      <c r="A35" s="4"/>
      <c r="B35" s="315"/>
      <c r="C35" s="328"/>
      <c r="D35" s="333"/>
      <c r="E35" s="18"/>
      <c r="F35" s="4"/>
    </row>
    <row r="36" spans="1:6">
      <c r="A36" s="4"/>
      <c r="B36" s="314" t="s">
        <v>37</v>
      </c>
      <c r="C36" s="317" t="s">
        <v>38</v>
      </c>
      <c r="D36" s="331" t="s">
        <v>39</v>
      </c>
      <c r="E36" s="19" t="s">
        <v>40</v>
      </c>
      <c r="F36" s="4"/>
    </row>
    <row r="37" spans="1:6" ht="14.45">
      <c r="A37" s="4"/>
      <c r="B37" s="315"/>
      <c r="C37" s="318"/>
      <c r="D37" s="333"/>
      <c r="E37" s="20"/>
      <c r="F37" s="4"/>
    </row>
    <row r="38" spans="1:6">
      <c r="A38" s="4"/>
      <c r="B38" s="315"/>
      <c r="C38" s="318"/>
      <c r="D38" s="333"/>
      <c r="E38" s="21" t="s">
        <v>41</v>
      </c>
      <c r="F38" s="4"/>
    </row>
    <row r="39" spans="1:6" ht="14.45">
      <c r="B39" s="315"/>
      <c r="C39" s="318"/>
      <c r="D39" s="333"/>
      <c r="E39" s="20"/>
    </row>
    <row r="40" spans="1:6">
      <c r="B40" s="315"/>
      <c r="C40" s="318"/>
      <c r="D40" s="333"/>
      <c r="E40" s="21" t="s">
        <v>42</v>
      </c>
    </row>
    <row r="41" spans="1:6" ht="14.45">
      <c r="B41" s="315"/>
      <c r="C41" s="318"/>
      <c r="D41" s="333"/>
      <c r="E41" s="20"/>
    </row>
    <row r="42" spans="1:6">
      <c r="B42" s="315"/>
      <c r="C42" s="318"/>
      <c r="D42" s="333"/>
      <c r="E42" s="21" t="s">
        <v>43</v>
      </c>
    </row>
    <row r="43" spans="1:6">
      <c r="B43" s="315"/>
      <c r="C43" s="319"/>
      <c r="D43" s="332"/>
      <c r="E43" s="21" t="s">
        <v>44</v>
      </c>
    </row>
    <row r="44" spans="1:6">
      <c r="B44" s="315"/>
      <c r="C44" s="323" t="s">
        <v>45</v>
      </c>
      <c r="D44" s="334" t="s">
        <v>46</v>
      </c>
      <c r="E44" s="21" t="s">
        <v>47</v>
      </c>
    </row>
    <row r="45" spans="1:6" ht="14.45">
      <c r="B45" s="315"/>
      <c r="C45" s="318"/>
      <c r="D45" s="333"/>
      <c r="E45" s="20"/>
    </row>
    <row r="46" spans="1:6">
      <c r="B46" s="315"/>
      <c r="C46" s="318"/>
      <c r="D46" s="333"/>
      <c r="E46" s="21" t="s">
        <v>48</v>
      </c>
    </row>
    <row r="47" spans="1:6" ht="14.45">
      <c r="B47" s="315"/>
      <c r="C47" s="318"/>
      <c r="D47" s="333"/>
      <c r="E47" s="20"/>
    </row>
    <row r="48" spans="1:6">
      <c r="B48" s="315"/>
      <c r="C48" s="318"/>
      <c r="D48" s="333"/>
      <c r="E48" s="22"/>
    </row>
    <row r="49" spans="2:5" ht="14.45">
      <c r="B49" s="315"/>
      <c r="C49" s="318"/>
      <c r="D49" s="333"/>
      <c r="E49" s="20"/>
    </row>
    <row r="50" spans="2:5">
      <c r="B50" s="315"/>
      <c r="C50" s="318"/>
      <c r="D50" s="333"/>
      <c r="E50" s="21" t="s">
        <v>49</v>
      </c>
    </row>
    <row r="51" spans="2:5" ht="14.45">
      <c r="B51" s="315"/>
      <c r="C51" s="318"/>
      <c r="D51" s="333"/>
      <c r="E51" s="20"/>
    </row>
    <row r="52" spans="2:5">
      <c r="B52" s="315"/>
      <c r="C52" s="318"/>
      <c r="D52" s="333"/>
      <c r="E52" s="21" t="s">
        <v>50</v>
      </c>
    </row>
    <row r="53" spans="2:5">
      <c r="B53" s="315"/>
      <c r="C53" s="319"/>
      <c r="D53" s="332"/>
      <c r="E53" s="23"/>
    </row>
    <row r="54" spans="2:5">
      <c r="B54" s="315"/>
      <c r="C54" s="323" t="s">
        <v>51</v>
      </c>
      <c r="D54" s="334" t="s">
        <v>52</v>
      </c>
      <c r="E54" s="21" t="s">
        <v>53</v>
      </c>
    </row>
    <row r="55" spans="2:5" ht="14.45">
      <c r="B55" s="315"/>
      <c r="C55" s="318"/>
      <c r="D55" s="333"/>
      <c r="E55" s="20"/>
    </row>
    <row r="56" spans="2:5">
      <c r="B56" s="315"/>
      <c r="C56" s="318"/>
      <c r="D56" s="333"/>
      <c r="E56" s="21" t="s">
        <v>54</v>
      </c>
    </row>
    <row r="57" spans="2:5" ht="14.45">
      <c r="B57" s="315"/>
      <c r="C57" s="318"/>
      <c r="D57" s="333"/>
      <c r="E57" s="20"/>
    </row>
    <row r="58" spans="2:5">
      <c r="B58" s="315"/>
      <c r="C58" s="318"/>
      <c r="D58" s="333"/>
      <c r="E58" s="21" t="s">
        <v>55</v>
      </c>
    </row>
    <row r="59" spans="2:5" ht="14.45">
      <c r="B59" s="315"/>
      <c r="C59" s="318"/>
      <c r="D59" s="333"/>
      <c r="E59" s="20"/>
    </row>
    <row r="60" spans="2:5">
      <c r="B60" s="315"/>
      <c r="C60" s="318"/>
      <c r="D60" s="333"/>
      <c r="E60" s="21" t="s">
        <v>56</v>
      </c>
    </row>
    <row r="61" spans="2:5" ht="14.45" thickBot="1">
      <c r="B61" s="315"/>
      <c r="C61" s="318"/>
      <c r="D61" s="333"/>
      <c r="E61" s="24"/>
    </row>
    <row r="62" spans="2:5">
      <c r="B62" s="314" t="s">
        <v>57</v>
      </c>
      <c r="C62" s="317" t="s">
        <v>58</v>
      </c>
      <c r="D62" s="331" t="s">
        <v>59</v>
      </c>
      <c r="E62" s="25" t="s">
        <v>60</v>
      </c>
    </row>
    <row r="63" spans="2:5">
      <c r="B63" s="315"/>
      <c r="C63" s="318"/>
      <c r="D63" s="333"/>
      <c r="E63" s="26" t="s">
        <v>61</v>
      </c>
    </row>
    <row r="64" spans="2:5">
      <c r="B64" s="315"/>
      <c r="C64" s="318"/>
      <c r="D64" s="333"/>
      <c r="E64" s="26" t="s">
        <v>62</v>
      </c>
    </row>
    <row r="65" spans="2:5" ht="14.45">
      <c r="B65" s="315"/>
      <c r="C65" s="318"/>
      <c r="D65" s="333"/>
      <c r="E65" s="27"/>
    </row>
    <row r="66" spans="2:5">
      <c r="B66" s="315"/>
      <c r="C66" s="318"/>
      <c r="D66" s="333"/>
      <c r="E66" s="15" t="s">
        <v>63</v>
      </c>
    </row>
    <row r="67" spans="2:5" ht="14.45">
      <c r="B67" s="315"/>
      <c r="C67" s="318"/>
      <c r="D67" s="333"/>
      <c r="E67" s="27"/>
    </row>
    <row r="68" spans="2:5">
      <c r="B68" s="315"/>
      <c r="C68" s="318"/>
      <c r="D68" s="333"/>
      <c r="E68" s="15" t="s">
        <v>64</v>
      </c>
    </row>
    <row r="69" spans="2:5">
      <c r="B69" s="315"/>
      <c r="C69" s="319"/>
      <c r="D69" s="332"/>
      <c r="E69" s="24"/>
    </row>
    <row r="70" spans="2:5">
      <c r="B70" s="315"/>
      <c r="C70" s="323" t="s">
        <v>65</v>
      </c>
      <c r="D70" s="334" t="s">
        <v>66</v>
      </c>
      <c r="E70" s="15" t="s">
        <v>67</v>
      </c>
    </row>
    <row r="71" spans="2:5" ht="14.45">
      <c r="B71" s="315"/>
      <c r="C71" s="318"/>
      <c r="D71" s="333"/>
      <c r="E71" s="27"/>
    </row>
    <row r="72" spans="2:5">
      <c r="B72" s="315"/>
      <c r="C72" s="318"/>
      <c r="D72" s="333"/>
      <c r="E72" s="15" t="s">
        <v>68</v>
      </c>
    </row>
    <row r="73" spans="2:5">
      <c r="B73" s="315"/>
      <c r="C73" s="319"/>
      <c r="D73" s="332"/>
      <c r="E73" s="24"/>
    </row>
    <row r="74" spans="2:5" ht="42" customHeight="1">
      <c r="B74" s="315"/>
      <c r="C74" s="323" t="s">
        <v>69</v>
      </c>
      <c r="D74" s="334" t="s">
        <v>70</v>
      </c>
      <c r="E74" s="305" t="s">
        <v>71</v>
      </c>
    </row>
    <row r="75" spans="2:5" ht="14.45" thickBot="1">
      <c r="B75" s="316"/>
      <c r="C75" s="344"/>
      <c r="D75" s="345"/>
      <c r="E75" s="337"/>
    </row>
  </sheetData>
  <mergeCells count="44">
    <mergeCell ref="B62:B75"/>
    <mergeCell ref="C62:C69"/>
    <mergeCell ref="D62:D69"/>
    <mergeCell ref="C70:C73"/>
    <mergeCell ref="D70:D73"/>
    <mergeCell ref="C74:C75"/>
    <mergeCell ref="D74:D75"/>
    <mergeCell ref="C18:C19"/>
    <mergeCell ref="D18:D19"/>
    <mergeCell ref="C20:C21"/>
    <mergeCell ref="D20:D21"/>
    <mergeCell ref="E74:E75"/>
    <mergeCell ref="E20:E21"/>
    <mergeCell ref="E22:E23"/>
    <mergeCell ref="C26:C35"/>
    <mergeCell ref="D26:D35"/>
    <mergeCell ref="C24:C25"/>
    <mergeCell ref="D24:D25"/>
    <mergeCell ref="E24:E25"/>
    <mergeCell ref="C22:C23"/>
    <mergeCell ref="D22:D23"/>
    <mergeCell ref="B36:B61"/>
    <mergeCell ref="C36:C43"/>
    <mergeCell ref="D36:D43"/>
    <mergeCell ref="C44:C53"/>
    <mergeCell ref="D44:D53"/>
    <mergeCell ref="C54:C61"/>
    <mergeCell ref="D54:D61"/>
    <mergeCell ref="E16:E17"/>
    <mergeCell ref="E18:E19"/>
    <mergeCell ref="B2:C3"/>
    <mergeCell ref="D2:D3"/>
    <mergeCell ref="E2:E3"/>
    <mergeCell ref="B4:B15"/>
    <mergeCell ref="C4:C9"/>
    <mergeCell ref="D4:D9"/>
    <mergeCell ref="C10:C11"/>
    <mergeCell ref="D10:D11"/>
    <mergeCell ref="E10:E11"/>
    <mergeCell ref="C12:C15"/>
    <mergeCell ref="D12:D15"/>
    <mergeCell ref="B16:B35"/>
    <mergeCell ref="C16:C17"/>
    <mergeCell ref="D16:D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53CE-D850-451B-984A-F4C17348800C}">
  <dimension ref="A1:J50"/>
  <sheetViews>
    <sheetView zoomScale="97" workbookViewId="0">
      <selection activeCell="E3" sqref="E3"/>
    </sheetView>
  </sheetViews>
  <sheetFormatPr defaultColWidth="8.7109375" defaultRowHeight="12.95"/>
  <cols>
    <col min="1" max="1" width="5.140625" style="29" bestFit="1" customWidth="1"/>
    <col min="2" max="2" width="22.42578125" style="28" customWidth="1"/>
    <col min="3" max="3" width="4.7109375" style="28" customWidth="1"/>
    <col min="4" max="4" width="19.140625" style="28" customWidth="1"/>
    <col min="5" max="5" width="23.140625" style="28" customWidth="1"/>
    <col min="6" max="6" width="5.85546875" style="28" customWidth="1"/>
    <col min="7" max="7" width="20.5703125" style="28" customWidth="1"/>
    <col min="8" max="8" width="16.7109375" style="28" customWidth="1"/>
    <col min="9" max="9" width="5.42578125" style="28" customWidth="1"/>
    <col min="10" max="10" width="20.140625" style="28" customWidth="1"/>
    <col min="11" max="16384" width="8.7109375" style="28"/>
  </cols>
  <sheetData>
    <row r="1" spans="1:10">
      <c r="B1" s="346" t="s">
        <v>72</v>
      </c>
      <c r="C1" s="346"/>
      <c r="D1" s="346"/>
      <c r="E1" s="347" t="s">
        <v>73</v>
      </c>
      <c r="F1" s="347"/>
      <c r="G1" s="347"/>
      <c r="H1" s="348" t="s">
        <v>74</v>
      </c>
      <c r="I1" s="348"/>
      <c r="J1" s="348"/>
    </row>
    <row r="2" spans="1:10">
      <c r="A2" s="30" t="s">
        <v>75</v>
      </c>
      <c r="B2" s="33" t="s">
        <v>76</v>
      </c>
      <c r="C2" s="33" t="s">
        <v>77</v>
      </c>
      <c r="D2" s="33" t="s">
        <v>78</v>
      </c>
      <c r="E2" s="34" t="s">
        <v>76</v>
      </c>
      <c r="F2" s="34" t="s">
        <v>77</v>
      </c>
      <c r="G2" s="34" t="s">
        <v>78</v>
      </c>
      <c r="H2" s="35" t="s">
        <v>76</v>
      </c>
      <c r="I2" s="35" t="s">
        <v>77</v>
      </c>
      <c r="J2" s="35" t="s">
        <v>78</v>
      </c>
    </row>
    <row r="3" spans="1:10">
      <c r="A3" s="31">
        <v>1</v>
      </c>
      <c r="B3" s="32" t="s">
        <v>79</v>
      </c>
      <c r="C3" s="31">
        <v>5</v>
      </c>
      <c r="D3" s="32"/>
      <c r="E3" s="32" t="s">
        <v>80</v>
      </c>
      <c r="F3" s="31">
        <v>5</v>
      </c>
      <c r="G3" s="32"/>
      <c r="H3" s="32" t="s">
        <v>81</v>
      </c>
      <c r="I3" s="31">
        <v>5</v>
      </c>
      <c r="J3" s="32"/>
    </row>
    <row r="4" spans="1:10">
      <c r="A4" s="31">
        <v>2</v>
      </c>
      <c r="B4" s="32"/>
      <c r="C4" s="31"/>
      <c r="D4" s="32"/>
    </row>
    <row r="5" spans="1:10">
      <c r="A5" s="31">
        <v>3</v>
      </c>
      <c r="B5" s="32"/>
      <c r="C5" s="31"/>
      <c r="D5" s="32"/>
    </row>
    <row r="6" spans="1:10">
      <c r="A6" s="31">
        <v>4</v>
      </c>
      <c r="B6" s="32"/>
      <c r="C6" s="31"/>
      <c r="D6" s="32"/>
    </row>
    <row r="7" spans="1:10">
      <c r="A7" s="31">
        <v>5</v>
      </c>
      <c r="B7" s="32"/>
      <c r="C7" s="31"/>
      <c r="D7" s="32"/>
    </row>
    <row r="8" spans="1:10">
      <c r="A8" s="31">
        <v>6</v>
      </c>
      <c r="B8" s="32"/>
      <c r="C8" s="31"/>
      <c r="D8" s="32"/>
    </row>
    <row r="9" spans="1:10">
      <c r="A9" s="31">
        <v>7</v>
      </c>
      <c r="B9" s="32"/>
      <c r="C9" s="31"/>
      <c r="D9" s="32"/>
    </row>
    <row r="10" spans="1:10">
      <c r="A10" s="31">
        <v>8</v>
      </c>
      <c r="B10" s="32"/>
      <c r="C10" s="31"/>
      <c r="D10" s="32"/>
    </row>
    <row r="11" spans="1:10">
      <c r="A11" s="31">
        <v>9</v>
      </c>
      <c r="B11" s="32"/>
      <c r="C11" s="31"/>
      <c r="D11" s="32"/>
    </row>
    <row r="12" spans="1:10">
      <c r="A12" s="31">
        <v>10</v>
      </c>
      <c r="B12" s="32"/>
      <c r="C12" s="31"/>
      <c r="D12" s="32"/>
    </row>
    <row r="13" spans="1:10">
      <c r="A13" s="31">
        <v>11</v>
      </c>
      <c r="B13" s="32"/>
      <c r="C13" s="31"/>
      <c r="D13" s="32"/>
    </row>
    <row r="14" spans="1:10">
      <c r="A14" s="31">
        <v>12</v>
      </c>
      <c r="B14" s="32"/>
      <c r="C14" s="31"/>
      <c r="D14" s="32"/>
    </row>
    <row r="15" spans="1:10">
      <c r="A15" s="31">
        <v>13</v>
      </c>
      <c r="B15" s="32"/>
      <c r="C15" s="31"/>
      <c r="D15" s="32"/>
    </row>
    <row r="16" spans="1:10">
      <c r="A16" s="31">
        <v>14</v>
      </c>
      <c r="B16" s="32"/>
      <c r="C16" s="31"/>
      <c r="D16" s="32"/>
    </row>
    <row r="17" spans="1:4">
      <c r="A17" s="31">
        <v>15</v>
      </c>
      <c r="B17" s="32"/>
      <c r="C17" s="31"/>
      <c r="D17" s="32"/>
    </row>
    <row r="18" spans="1:4">
      <c r="A18" s="31">
        <v>16</v>
      </c>
      <c r="B18" s="32"/>
      <c r="C18" s="31"/>
      <c r="D18" s="32"/>
    </row>
    <row r="19" spans="1:4">
      <c r="A19" s="31">
        <v>17</v>
      </c>
      <c r="B19" s="32"/>
      <c r="C19" s="31"/>
      <c r="D19" s="32"/>
    </row>
    <row r="20" spans="1:4">
      <c r="A20" s="31">
        <v>18</v>
      </c>
      <c r="B20" s="32"/>
      <c r="C20" s="31"/>
      <c r="D20" s="32"/>
    </row>
    <row r="21" spans="1:4">
      <c r="A21" s="31">
        <v>19</v>
      </c>
      <c r="B21" s="32"/>
      <c r="C21" s="31"/>
      <c r="D21" s="32"/>
    </row>
    <row r="22" spans="1:4">
      <c r="A22" s="31">
        <v>20</v>
      </c>
      <c r="B22" s="32"/>
      <c r="C22" s="31"/>
      <c r="D22" s="32"/>
    </row>
    <row r="23" spans="1:4">
      <c r="A23" s="31">
        <v>21</v>
      </c>
      <c r="B23" s="32"/>
      <c r="C23" s="31"/>
      <c r="D23" s="32"/>
    </row>
    <row r="24" spans="1:4">
      <c r="A24" s="31">
        <v>22</v>
      </c>
      <c r="B24" s="32"/>
      <c r="C24" s="31"/>
      <c r="D24" s="32"/>
    </row>
    <row r="25" spans="1:4">
      <c r="A25" s="31">
        <v>23</v>
      </c>
      <c r="B25" s="32"/>
      <c r="C25" s="31"/>
      <c r="D25" s="32"/>
    </row>
    <row r="26" spans="1:4">
      <c r="A26" s="31">
        <v>24</v>
      </c>
      <c r="B26" s="32"/>
      <c r="C26" s="31"/>
      <c r="D26" s="32"/>
    </row>
    <row r="27" spans="1:4">
      <c r="A27" s="31">
        <v>25</v>
      </c>
      <c r="B27" s="32"/>
      <c r="C27" s="31"/>
      <c r="D27" s="32"/>
    </row>
    <row r="28" spans="1:4">
      <c r="A28" s="31">
        <v>26</v>
      </c>
      <c r="B28" s="32"/>
      <c r="C28" s="31"/>
      <c r="D28" s="32"/>
    </row>
    <row r="29" spans="1:4">
      <c r="A29" s="31">
        <v>27</v>
      </c>
      <c r="B29" s="32"/>
      <c r="C29" s="31"/>
      <c r="D29" s="32"/>
    </row>
    <row r="30" spans="1:4">
      <c r="A30" s="31">
        <v>28</v>
      </c>
      <c r="B30" s="32"/>
      <c r="C30" s="31"/>
      <c r="D30" s="32"/>
    </row>
    <row r="31" spans="1:4">
      <c r="A31" s="31">
        <v>29</v>
      </c>
      <c r="B31" s="32"/>
      <c r="C31" s="31"/>
      <c r="D31" s="32"/>
    </row>
    <row r="32" spans="1:4">
      <c r="A32" s="31">
        <v>30</v>
      </c>
      <c r="B32" s="32"/>
      <c r="C32" s="31"/>
      <c r="D32" s="32"/>
    </row>
    <row r="33" spans="1:4">
      <c r="A33" s="31">
        <v>31</v>
      </c>
      <c r="B33" s="32"/>
      <c r="C33" s="31"/>
      <c r="D33" s="32"/>
    </row>
    <row r="34" spans="1:4">
      <c r="A34" s="31">
        <v>32</v>
      </c>
      <c r="B34" s="32"/>
      <c r="C34" s="31"/>
      <c r="D34" s="32"/>
    </row>
    <row r="35" spans="1:4">
      <c r="A35" s="31">
        <v>33</v>
      </c>
      <c r="B35" s="32"/>
      <c r="C35" s="31"/>
      <c r="D35" s="32"/>
    </row>
    <row r="36" spans="1:4">
      <c r="A36" s="31">
        <v>34</v>
      </c>
      <c r="B36" s="32"/>
      <c r="C36" s="31"/>
      <c r="D36" s="32"/>
    </row>
    <row r="37" spans="1:4">
      <c r="A37" s="31">
        <v>35</v>
      </c>
      <c r="B37" s="32"/>
      <c r="C37" s="31"/>
      <c r="D37" s="32"/>
    </row>
    <row r="38" spans="1:4">
      <c r="A38" s="31">
        <v>36</v>
      </c>
      <c r="B38" s="32"/>
      <c r="C38" s="31"/>
      <c r="D38" s="32"/>
    </row>
    <row r="39" spans="1:4">
      <c r="A39" s="31">
        <v>37</v>
      </c>
      <c r="B39" s="32"/>
      <c r="C39" s="31"/>
      <c r="D39" s="32"/>
    </row>
    <row r="40" spans="1:4">
      <c r="A40" s="31">
        <v>38</v>
      </c>
      <c r="B40" s="32"/>
      <c r="C40" s="31"/>
      <c r="D40" s="32"/>
    </row>
    <row r="41" spans="1:4">
      <c r="A41" s="31">
        <v>39</v>
      </c>
      <c r="B41" s="32"/>
      <c r="C41" s="31"/>
      <c r="D41" s="32"/>
    </row>
    <row r="42" spans="1:4">
      <c r="A42" s="31">
        <v>40</v>
      </c>
      <c r="B42" s="32"/>
      <c r="C42" s="31"/>
      <c r="D42" s="32"/>
    </row>
    <row r="43" spans="1:4">
      <c r="A43" s="31">
        <v>41</v>
      </c>
      <c r="B43" s="32"/>
      <c r="C43" s="31"/>
      <c r="D43" s="32"/>
    </row>
    <row r="44" spans="1:4">
      <c r="A44" s="31">
        <v>42</v>
      </c>
      <c r="B44" s="32"/>
      <c r="C44" s="31"/>
      <c r="D44" s="32"/>
    </row>
    <row r="45" spans="1:4">
      <c r="A45" s="31">
        <v>43</v>
      </c>
      <c r="B45" s="32"/>
      <c r="C45" s="31"/>
      <c r="D45" s="32"/>
    </row>
    <row r="46" spans="1:4">
      <c r="A46" s="31">
        <v>44</v>
      </c>
      <c r="B46" s="32"/>
      <c r="C46" s="31"/>
      <c r="D46" s="32"/>
    </row>
    <row r="47" spans="1:4">
      <c r="A47" s="31">
        <v>45</v>
      </c>
      <c r="B47" s="32"/>
      <c r="C47" s="31"/>
      <c r="D47" s="32"/>
    </row>
    <row r="48" spans="1:4">
      <c r="A48" s="31">
        <v>46</v>
      </c>
      <c r="B48" s="32"/>
      <c r="C48" s="31"/>
      <c r="D48" s="32"/>
    </row>
    <row r="49" spans="1:4">
      <c r="A49" s="31">
        <v>47</v>
      </c>
      <c r="B49" s="32"/>
      <c r="C49" s="31"/>
      <c r="D49" s="32"/>
    </row>
    <row r="50" spans="1:4">
      <c r="A50" s="31">
        <v>48</v>
      </c>
      <c r="B50" s="32"/>
      <c r="C50" s="31"/>
      <c r="D50" s="32"/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6451-DD6A-4616-AE59-726DDB31F209}">
  <dimension ref="A1:AH754"/>
  <sheetViews>
    <sheetView tabSelected="1" zoomScaleNormal="100" workbookViewId="0">
      <pane xSplit="6" ySplit="6" topLeftCell="G167" activePane="bottomRight" state="frozen"/>
      <selection pane="bottomRight" activeCell="B6" sqref="B6:B181"/>
      <selection pane="bottomLeft" activeCell="A4" sqref="A4"/>
      <selection pane="topRight" activeCell="F1" sqref="F1"/>
    </sheetView>
  </sheetViews>
  <sheetFormatPr defaultColWidth="8.7109375" defaultRowHeight="15" customHeight="1"/>
  <cols>
    <col min="1" max="1" width="5.28515625" style="206" customWidth="1"/>
    <col min="2" max="2" width="24.5703125" style="1" customWidth="1"/>
    <col min="3" max="3" width="3.7109375" style="1" bestFit="1" customWidth="1"/>
    <col min="4" max="4" width="6.85546875" style="1" customWidth="1"/>
    <col min="5" max="5" width="7.85546875" style="1" customWidth="1"/>
    <col min="6" max="6" width="13.28515625" style="1" customWidth="1"/>
    <col min="7" max="13" width="10.5703125" style="206" customWidth="1"/>
    <col min="14" max="14" width="12.42578125" style="206" customWidth="1"/>
    <col min="15" max="15" width="13" style="206" customWidth="1"/>
    <col min="16" max="21" width="10.5703125" style="206" customWidth="1"/>
    <col min="22" max="22" width="14.5703125" style="206" customWidth="1"/>
    <col min="23" max="31" width="8.5703125" style="206" customWidth="1"/>
    <col min="32" max="32" width="11" style="206" customWidth="1"/>
    <col min="33" max="33" width="17.42578125" style="1" customWidth="1"/>
    <col min="34" max="34" width="8.5703125" style="1" customWidth="1"/>
    <col min="35" max="16384" width="8.7109375" style="1"/>
  </cols>
  <sheetData>
    <row r="1" spans="1:34" ht="15" customHeight="1">
      <c r="A1" s="294" t="s">
        <v>82</v>
      </c>
      <c r="B1" s="294"/>
      <c r="C1" s="299" t="s">
        <v>83</v>
      </c>
      <c r="D1" s="299"/>
      <c r="E1" s="300" t="s">
        <v>84</v>
      </c>
      <c r="F1" s="300"/>
      <c r="G1" s="301" t="s">
        <v>85</v>
      </c>
      <c r="H1" s="301"/>
    </row>
    <row r="2" spans="1:34" ht="15" customHeight="1">
      <c r="A2" s="294"/>
      <c r="B2" s="294"/>
      <c r="C2" s="299"/>
      <c r="D2" s="299"/>
      <c r="E2" s="300"/>
      <c r="F2" s="300"/>
      <c r="G2" s="301"/>
      <c r="H2" s="301"/>
    </row>
    <row r="3" spans="1:34" ht="15" customHeight="1">
      <c r="A3" s="275" t="s">
        <v>86</v>
      </c>
      <c r="B3" s="278" t="s">
        <v>87</v>
      </c>
      <c r="C3" s="278" t="s">
        <v>77</v>
      </c>
      <c r="D3" s="278" t="s">
        <v>88</v>
      </c>
      <c r="E3" s="278"/>
      <c r="F3" s="278"/>
      <c r="G3" s="279" t="s">
        <v>89</v>
      </c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302" t="s">
        <v>90</v>
      </c>
      <c r="W3" s="273" t="s">
        <v>91</v>
      </c>
      <c r="X3" s="273"/>
      <c r="Y3" s="273"/>
      <c r="Z3" s="273"/>
      <c r="AA3" s="273"/>
      <c r="AB3" s="274"/>
      <c r="AC3" s="265" t="s">
        <v>92</v>
      </c>
      <c r="AD3" s="266"/>
      <c r="AE3" s="266"/>
      <c r="AF3" s="267"/>
      <c r="AG3" s="261" t="s">
        <v>93</v>
      </c>
      <c r="AH3" s="262"/>
    </row>
    <row r="4" spans="1:34" ht="15" customHeight="1">
      <c r="A4" s="276"/>
      <c r="B4" s="278"/>
      <c r="C4" s="278"/>
      <c r="D4" s="281"/>
      <c r="E4" s="281"/>
      <c r="F4" s="281"/>
      <c r="G4" s="288" t="s">
        <v>94</v>
      </c>
      <c r="H4" s="289"/>
      <c r="I4" s="290"/>
      <c r="J4" s="291" t="s">
        <v>95</v>
      </c>
      <c r="K4" s="292"/>
      <c r="L4" s="292"/>
      <c r="M4" s="292"/>
      <c r="N4" s="292"/>
      <c r="O4" s="293"/>
      <c r="P4" s="282" t="s">
        <v>96</v>
      </c>
      <c r="Q4" s="283"/>
      <c r="R4" s="284"/>
      <c r="S4" s="285" t="s">
        <v>97</v>
      </c>
      <c r="T4" s="286"/>
      <c r="U4" s="287"/>
      <c r="V4" s="302"/>
      <c r="W4" s="295" t="s">
        <v>98</v>
      </c>
      <c r="X4" s="297" t="s">
        <v>99</v>
      </c>
      <c r="Y4" s="298" t="s">
        <v>100</v>
      </c>
      <c r="Z4" s="297" t="s">
        <v>101</v>
      </c>
      <c r="AA4" s="297" t="s">
        <v>102</v>
      </c>
      <c r="AB4" s="271" t="s">
        <v>103</v>
      </c>
      <c r="AC4" s="268" t="s">
        <v>104</v>
      </c>
      <c r="AD4" s="269" t="s">
        <v>105</v>
      </c>
      <c r="AE4" s="269" t="s">
        <v>106</v>
      </c>
      <c r="AF4" s="270" t="s">
        <v>107</v>
      </c>
      <c r="AG4" s="263" t="s">
        <v>108</v>
      </c>
      <c r="AH4" s="264" t="s">
        <v>109</v>
      </c>
    </row>
    <row r="5" spans="1:34" ht="36">
      <c r="A5" s="277"/>
      <c r="B5" s="278"/>
      <c r="C5" s="281"/>
      <c r="D5" s="255" t="s">
        <v>110</v>
      </c>
      <c r="E5" s="255" t="s">
        <v>111</v>
      </c>
      <c r="F5" s="256" t="s">
        <v>112</v>
      </c>
      <c r="G5" s="250" t="s">
        <v>113</v>
      </c>
      <c r="H5" s="188" t="s">
        <v>114</v>
      </c>
      <c r="I5" s="187" t="s">
        <v>115</v>
      </c>
      <c r="J5" s="186" t="s">
        <v>116</v>
      </c>
      <c r="K5" s="185" t="s">
        <v>117</v>
      </c>
      <c r="L5" s="185" t="s">
        <v>118</v>
      </c>
      <c r="M5" s="185" t="s">
        <v>119</v>
      </c>
      <c r="N5" s="185" t="s">
        <v>120</v>
      </c>
      <c r="O5" s="184" t="s">
        <v>121</v>
      </c>
      <c r="P5" s="183" t="s">
        <v>122</v>
      </c>
      <c r="Q5" s="182" t="s">
        <v>123</v>
      </c>
      <c r="R5" s="181" t="s">
        <v>124</v>
      </c>
      <c r="S5" s="190" t="s">
        <v>125</v>
      </c>
      <c r="T5" s="170" t="s">
        <v>126</v>
      </c>
      <c r="U5" s="171" t="s">
        <v>127</v>
      </c>
      <c r="V5" s="302"/>
      <c r="W5" s="296"/>
      <c r="X5" s="298"/>
      <c r="Y5" s="303"/>
      <c r="Z5" s="298"/>
      <c r="AA5" s="298"/>
      <c r="AB5" s="272"/>
      <c r="AC5" s="268"/>
      <c r="AD5" s="269"/>
      <c r="AE5" s="269"/>
      <c r="AF5" s="270"/>
      <c r="AG5" s="263"/>
      <c r="AH5" s="264"/>
    </row>
    <row r="6" spans="1:34" ht="15" customHeight="1">
      <c r="A6" s="166">
        <v>1</v>
      </c>
      <c r="B6" s="251" t="s">
        <v>128</v>
      </c>
      <c r="C6" s="252">
        <v>7</v>
      </c>
      <c r="D6" s="253" t="s">
        <v>129</v>
      </c>
      <c r="E6" s="253" t="s">
        <v>130</v>
      </c>
      <c r="F6" s="254" t="s">
        <v>131</v>
      </c>
      <c r="G6" s="174" t="s">
        <v>85</v>
      </c>
      <c r="H6" s="172" t="s">
        <v>84</v>
      </c>
      <c r="I6" s="173"/>
      <c r="J6" s="173"/>
      <c r="K6" s="173"/>
      <c r="L6" s="173"/>
      <c r="M6" s="180"/>
      <c r="N6" s="180"/>
      <c r="O6" s="180"/>
      <c r="P6" s="172" t="s">
        <v>84</v>
      </c>
      <c r="Q6" s="173"/>
      <c r="R6" s="172" t="s">
        <v>84</v>
      </c>
      <c r="S6" s="172" t="s">
        <v>84</v>
      </c>
      <c r="T6" s="166"/>
      <c r="U6" s="166"/>
      <c r="V6" s="166"/>
      <c r="W6" s="166"/>
      <c r="X6" s="166"/>
      <c r="Y6" s="166"/>
      <c r="Z6" s="166" t="s">
        <v>132</v>
      </c>
      <c r="AA6" s="166"/>
      <c r="AB6" s="166"/>
      <c r="AC6" s="166"/>
      <c r="AD6" s="166"/>
      <c r="AE6" s="166"/>
      <c r="AF6" s="166"/>
      <c r="AG6" s="167"/>
      <c r="AH6" s="167"/>
    </row>
    <row r="7" spans="1:34" ht="15" customHeight="1">
      <c r="A7" s="166">
        <v>2</v>
      </c>
      <c r="B7" s="207" t="s">
        <v>133</v>
      </c>
      <c r="C7" s="208">
        <v>7</v>
      </c>
      <c r="D7" s="209" t="s">
        <v>134</v>
      </c>
      <c r="E7" s="209" t="s">
        <v>129</v>
      </c>
      <c r="F7" s="208" t="s">
        <v>135</v>
      </c>
      <c r="G7" s="173"/>
      <c r="H7" s="174" t="s">
        <v>85</v>
      </c>
      <c r="I7" s="173"/>
      <c r="J7" s="173"/>
      <c r="K7" s="173"/>
      <c r="L7" s="173"/>
      <c r="M7" s="173"/>
      <c r="N7" s="173"/>
      <c r="O7" s="174" t="s">
        <v>85</v>
      </c>
      <c r="P7" s="174" t="s">
        <v>85</v>
      </c>
      <c r="Q7" s="174" t="s">
        <v>85</v>
      </c>
      <c r="R7" s="173"/>
      <c r="S7" s="173"/>
      <c r="T7" s="166"/>
      <c r="U7" s="166"/>
      <c r="V7" s="166"/>
      <c r="W7" s="166"/>
      <c r="X7" s="166"/>
      <c r="Y7" s="166" t="s">
        <v>132</v>
      </c>
      <c r="Z7" s="166"/>
      <c r="AA7" s="166"/>
      <c r="AB7" s="166"/>
      <c r="AC7" s="166" t="s">
        <v>132</v>
      </c>
      <c r="AD7" s="166"/>
      <c r="AE7" s="166"/>
      <c r="AF7" s="166"/>
      <c r="AG7" s="167"/>
      <c r="AH7" s="167"/>
    </row>
    <row r="8" spans="1:34" ht="15" customHeight="1">
      <c r="A8" s="166">
        <v>3</v>
      </c>
      <c r="B8" s="207" t="s">
        <v>136</v>
      </c>
      <c r="C8" s="208">
        <v>7</v>
      </c>
      <c r="D8" s="209" t="s">
        <v>134</v>
      </c>
      <c r="E8" s="209" t="s">
        <v>137</v>
      </c>
      <c r="F8" s="173" t="s">
        <v>131</v>
      </c>
      <c r="G8" s="173"/>
      <c r="H8" s="172" t="s">
        <v>84</v>
      </c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66"/>
      <c r="U8" s="166"/>
      <c r="V8" s="166" t="s">
        <v>132</v>
      </c>
      <c r="W8" s="166"/>
      <c r="X8" s="166"/>
      <c r="Y8" s="166" t="s">
        <v>132</v>
      </c>
      <c r="Z8" s="166" t="s">
        <v>132</v>
      </c>
      <c r="AA8" s="166"/>
      <c r="AB8" s="166" t="s">
        <v>132</v>
      </c>
      <c r="AC8" s="166"/>
      <c r="AD8" s="166"/>
      <c r="AE8" s="166"/>
      <c r="AF8" s="166"/>
      <c r="AG8" s="167"/>
      <c r="AH8" s="167"/>
    </row>
    <row r="9" spans="1:34" ht="15" customHeight="1">
      <c r="A9" s="166">
        <v>4</v>
      </c>
      <c r="B9" s="207" t="s">
        <v>138</v>
      </c>
      <c r="C9" s="208">
        <v>8</v>
      </c>
      <c r="D9" s="209" t="s">
        <v>139</v>
      </c>
      <c r="E9" s="209" t="s">
        <v>139</v>
      </c>
      <c r="F9" s="208" t="s">
        <v>140</v>
      </c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4" t="s">
        <v>85</v>
      </c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7"/>
      <c r="AH9" s="167"/>
    </row>
    <row r="10" spans="1:34" ht="15" customHeight="1">
      <c r="A10" s="166">
        <v>5</v>
      </c>
      <c r="B10" s="207" t="s">
        <v>141</v>
      </c>
      <c r="C10" s="208">
        <v>8</v>
      </c>
      <c r="D10" s="209" t="s">
        <v>139</v>
      </c>
      <c r="E10" s="209" t="s">
        <v>142</v>
      </c>
      <c r="F10" s="208" t="s">
        <v>143</v>
      </c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65" t="s">
        <v>84</v>
      </c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7"/>
      <c r="AH10" s="167"/>
    </row>
    <row r="11" spans="1:34" ht="15" customHeight="1">
      <c r="A11" s="166">
        <v>6</v>
      </c>
      <c r="B11" s="207" t="s">
        <v>144</v>
      </c>
      <c r="C11" s="208">
        <v>7</v>
      </c>
      <c r="D11" s="209" t="s">
        <v>130</v>
      </c>
      <c r="E11" s="209" t="s">
        <v>145</v>
      </c>
      <c r="F11" s="208" t="s">
        <v>135</v>
      </c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66"/>
      <c r="U11" s="164" t="s">
        <v>85</v>
      </c>
      <c r="V11" s="166" t="s">
        <v>132</v>
      </c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7"/>
      <c r="AH11" s="167"/>
    </row>
    <row r="12" spans="1:34" ht="15" customHeight="1">
      <c r="A12" s="166">
        <v>7</v>
      </c>
      <c r="B12" s="207" t="s">
        <v>146</v>
      </c>
      <c r="C12" s="208">
        <v>7</v>
      </c>
      <c r="D12" s="209" t="s">
        <v>130</v>
      </c>
      <c r="E12" s="209" t="s">
        <v>139</v>
      </c>
      <c r="F12" s="173" t="s">
        <v>147</v>
      </c>
      <c r="G12" s="173"/>
      <c r="H12" s="174" t="s">
        <v>85</v>
      </c>
      <c r="I12" s="173"/>
      <c r="J12" s="173"/>
      <c r="K12" s="174" t="s">
        <v>85</v>
      </c>
      <c r="L12" s="174" t="s">
        <v>85</v>
      </c>
      <c r="M12" s="173"/>
      <c r="N12" s="173"/>
      <c r="O12" s="174" t="s">
        <v>85</v>
      </c>
      <c r="P12" s="173"/>
      <c r="Q12" s="174" t="s">
        <v>85</v>
      </c>
      <c r="R12" s="173"/>
      <c r="S12" s="173"/>
      <c r="T12" s="166"/>
      <c r="U12" s="166"/>
      <c r="V12" s="166" t="s">
        <v>132</v>
      </c>
      <c r="W12" s="166"/>
      <c r="X12" s="166"/>
      <c r="Y12" s="166"/>
      <c r="Z12" s="166" t="s">
        <v>132</v>
      </c>
      <c r="AA12" s="166"/>
      <c r="AB12" s="166"/>
      <c r="AC12" s="166"/>
      <c r="AD12" s="166"/>
      <c r="AE12" s="166"/>
      <c r="AF12" s="166"/>
      <c r="AG12" s="167"/>
      <c r="AH12" s="167"/>
    </row>
    <row r="13" spans="1:34" ht="15" customHeight="1">
      <c r="A13" s="166">
        <v>8</v>
      </c>
      <c r="B13" s="207" t="s">
        <v>148</v>
      </c>
      <c r="C13" s="208">
        <v>7</v>
      </c>
      <c r="D13" s="209" t="s">
        <v>130</v>
      </c>
      <c r="E13" s="209" t="s">
        <v>139</v>
      </c>
      <c r="F13" s="208" t="s">
        <v>135</v>
      </c>
      <c r="G13" s="173"/>
      <c r="H13" s="174" t="s">
        <v>85</v>
      </c>
      <c r="I13" s="173"/>
      <c r="J13" s="173"/>
      <c r="K13" s="173"/>
      <c r="L13" s="173"/>
      <c r="M13" s="173"/>
      <c r="N13" s="173"/>
      <c r="O13" s="173"/>
      <c r="P13" s="173"/>
      <c r="Q13" s="173"/>
      <c r="R13" s="174" t="s">
        <v>85</v>
      </c>
      <c r="S13" s="173"/>
      <c r="T13" s="166"/>
      <c r="U13" s="166"/>
      <c r="V13" s="166"/>
      <c r="W13" s="166"/>
      <c r="X13" s="166"/>
      <c r="Y13" s="166"/>
      <c r="Z13" s="166"/>
      <c r="AA13" s="166"/>
      <c r="AB13" s="166"/>
      <c r="AC13" s="166" t="s">
        <v>132</v>
      </c>
      <c r="AD13" s="166"/>
      <c r="AE13" s="166" t="s">
        <v>132</v>
      </c>
      <c r="AF13" s="166"/>
      <c r="AG13" s="167"/>
      <c r="AH13" s="167"/>
    </row>
    <row r="14" spans="1:34" ht="15" customHeight="1">
      <c r="A14" s="166">
        <v>9</v>
      </c>
      <c r="B14" s="207" t="s">
        <v>149</v>
      </c>
      <c r="C14" s="208">
        <v>8</v>
      </c>
      <c r="D14" s="209" t="s">
        <v>139</v>
      </c>
      <c r="E14" s="209" t="s">
        <v>145</v>
      </c>
      <c r="F14" s="208" t="s">
        <v>135</v>
      </c>
      <c r="G14" s="173"/>
      <c r="H14" s="172" t="s">
        <v>84</v>
      </c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4" t="s">
        <v>85</v>
      </c>
      <c r="T14" s="166"/>
      <c r="U14" s="166"/>
      <c r="V14" s="166" t="s">
        <v>132</v>
      </c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7"/>
      <c r="AH14" s="167"/>
    </row>
    <row r="15" spans="1:34" ht="15" customHeight="1">
      <c r="A15" s="166">
        <v>10</v>
      </c>
      <c r="B15" s="207" t="s">
        <v>150</v>
      </c>
      <c r="C15" s="208">
        <v>8</v>
      </c>
      <c r="D15" s="209" t="s">
        <v>139</v>
      </c>
      <c r="E15" s="209" t="s">
        <v>139</v>
      </c>
      <c r="F15" s="208" t="s">
        <v>135</v>
      </c>
      <c r="G15" s="173"/>
      <c r="H15" s="174" t="s">
        <v>85</v>
      </c>
      <c r="I15" s="173"/>
      <c r="J15" s="173"/>
      <c r="K15" s="173"/>
      <c r="L15" s="173"/>
      <c r="M15" s="173"/>
      <c r="N15" s="173"/>
      <c r="O15" s="172" t="s">
        <v>84</v>
      </c>
      <c r="P15" s="173"/>
      <c r="Q15" s="173"/>
      <c r="R15" s="173"/>
      <c r="S15" s="173"/>
      <c r="T15" s="166"/>
      <c r="U15" s="166"/>
      <c r="V15" s="166" t="s">
        <v>132</v>
      </c>
      <c r="W15" s="166" t="s">
        <v>132</v>
      </c>
      <c r="X15" s="166"/>
      <c r="Y15" s="166"/>
      <c r="Z15" s="166" t="s">
        <v>132</v>
      </c>
      <c r="AA15" s="166" t="s">
        <v>132</v>
      </c>
      <c r="AB15" s="166" t="s">
        <v>132</v>
      </c>
      <c r="AC15" s="166" t="s">
        <v>132</v>
      </c>
      <c r="AD15" s="166"/>
      <c r="AE15" s="166"/>
      <c r="AF15" s="166"/>
      <c r="AG15" s="167"/>
      <c r="AH15" s="167"/>
    </row>
    <row r="16" spans="1:34" ht="15" customHeight="1">
      <c r="A16" s="166">
        <v>11</v>
      </c>
      <c r="B16" s="207" t="s">
        <v>151</v>
      </c>
      <c r="C16" s="208">
        <v>7</v>
      </c>
      <c r="D16" s="209" t="s">
        <v>134</v>
      </c>
      <c r="E16" s="209" t="s">
        <v>137</v>
      </c>
      <c r="F16" s="208" t="s">
        <v>135</v>
      </c>
      <c r="G16" s="173"/>
      <c r="H16" s="174" t="s">
        <v>85</v>
      </c>
      <c r="I16" s="173"/>
      <c r="J16" s="173"/>
      <c r="K16" s="173"/>
      <c r="L16" s="173"/>
      <c r="M16" s="173"/>
      <c r="N16" s="173"/>
      <c r="O16" s="173"/>
      <c r="P16" s="173"/>
      <c r="Q16" s="173"/>
      <c r="R16" s="174" t="s">
        <v>85</v>
      </c>
      <c r="S16" s="173"/>
      <c r="T16" s="166"/>
      <c r="U16" s="166"/>
      <c r="V16" s="166" t="s">
        <v>132</v>
      </c>
      <c r="W16" s="166"/>
      <c r="X16" s="166"/>
      <c r="Y16" s="166"/>
      <c r="Z16" s="166" t="s">
        <v>132</v>
      </c>
      <c r="AA16" s="166"/>
      <c r="AB16" s="166"/>
      <c r="AC16" s="166"/>
      <c r="AD16" s="166"/>
      <c r="AE16" s="166"/>
      <c r="AF16" s="166"/>
      <c r="AG16" s="167"/>
      <c r="AH16" s="167"/>
    </row>
    <row r="17" spans="1:34" ht="15" customHeight="1">
      <c r="A17" s="166">
        <v>12</v>
      </c>
      <c r="B17" s="207" t="s">
        <v>152</v>
      </c>
      <c r="C17" s="208">
        <v>8</v>
      </c>
      <c r="D17" s="209" t="s">
        <v>137</v>
      </c>
      <c r="E17" s="209" t="s">
        <v>137</v>
      </c>
      <c r="F17" s="208" t="s">
        <v>135</v>
      </c>
      <c r="G17" s="173"/>
      <c r="H17" s="174" t="s">
        <v>85</v>
      </c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66"/>
      <c r="U17" s="166"/>
      <c r="V17" s="166" t="s">
        <v>132</v>
      </c>
      <c r="W17" s="166" t="s">
        <v>132</v>
      </c>
      <c r="X17" s="166"/>
      <c r="Y17" s="166"/>
      <c r="Z17" s="166" t="s">
        <v>132</v>
      </c>
      <c r="AA17" s="166"/>
      <c r="AB17" s="166"/>
      <c r="AC17" s="166" t="s">
        <v>132</v>
      </c>
      <c r="AD17" s="166"/>
      <c r="AE17" s="166"/>
      <c r="AF17" s="166" t="s">
        <v>132</v>
      </c>
      <c r="AG17" s="167"/>
      <c r="AH17" s="167"/>
    </row>
    <row r="18" spans="1:34" ht="15" customHeight="1">
      <c r="A18" s="166">
        <v>13</v>
      </c>
      <c r="B18" s="207" t="s">
        <v>153</v>
      </c>
      <c r="C18" s="208">
        <v>8</v>
      </c>
      <c r="D18" s="209" t="s">
        <v>130</v>
      </c>
      <c r="E18" s="209" t="s">
        <v>130</v>
      </c>
      <c r="F18" s="208" t="s">
        <v>140</v>
      </c>
      <c r="G18" s="173"/>
      <c r="H18" s="174" t="s">
        <v>85</v>
      </c>
      <c r="I18" s="173"/>
      <c r="J18" s="173"/>
      <c r="K18" s="173"/>
      <c r="L18" s="173"/>
      <c r="M18" s="173"/>
      <c r="N18" s="173"/>
      <c r="O18" s="174" t="s">
        <v>85</v>
      </c>
      <c r="P18" s="173"/>
      <c r="Q18" s="174" t="s">
        <v>85</v>
      </c>
      <c r="R18" s="173"/>
      <c r="S18" s="173"/>
      <c r="T18" s="166"/>
      <c r="U18" s="166"/>
      <c r="V18" s="166"/>
      <c r="W18" s="166"/>
      <c r="X18" s="166"/>
      <c r="Y18" s="166"/>
      <c r="Z18" s="166" t="s">
        <v>132</v>
      </c>
      <c r="AA18" s="166"/>
      <c r="AB18" s="166"/>
      <c r="AC18" s="166"/>
      <c r="AD18" s="166"/>
      <c r="AE18" s="166"/>
      <c r="AF18" s="166"/>
      <c r="AG18" s="167"/>
      <c r="AH18" s="167"/>
    </row>
    <row r="19" spans="1:34" ht="15" customHeight="1">
      <c r="A19" s="166">
        <v>14</v>
      </c>
      <c r="B19" s="207" t="s">
        <v>154</v>
      </c>
      <c r="C19" s="208">
        <v>7</v>
      </c>
      <c r="D19" s="209" t="s">
        <v>134</v>
      </c>
      <c r="E19" s="209" t="s">
        <v>137</v>
      </c>
      <c r="F19" s="208" t="s">
        <v>155</v>
      </c>
      <c r="G19" s="173"/>
      <c r="H19" s="174" t="s">
        <v>85</v>
      </c>
      <c r="I19" s="173"/>
      <c r="J19" s="173"/>
      <c r="K19" s="173"/>
      <c r="L19" s="173"/>
      <c r="M19" s="173"/>
      <c r="N19" s="173"/>
      <c r="O19" s="173"/>
      <c r="P19" s="173"/>
      <c r="Q19" s="173"/>
      <c r="R19" s="174" t="s">
        <v>85</v>
      </c>
      <c r="S19" s="173"/>
      <c r="T19" s="166"/>
      <c r="U19" s="166"/>
      <c r="V19" s="166"/>
      <c r="W19" s="166"/>
      <c r="X19" s="166"/>
      <c r="Y19" s="166"/>
      <c r="Z19" s="166" t="s">
        <v>132</v>
      </c>
      <c r="AA19" s="166"/>
      <c r="AB19" s="166"/>
      <c r="AC19" s="166"/>
      <c r="AD19" s="166"/>
      <c r="AE19" s="166"/>
      <c r="AF19" s="166"/>
      <c r="AG19" s="167"/>
      <c r="AH19" s="167"/>
    </row>
    <row r="20" spans="1:34" ht="15" customHeight="1">
      <c r="A20" s="166">
        <v>15</v>
      </c>
      <c r="B20" s="207" t="s">
        <v>156</v>
      </c>
      <c r="C20" s="208">
        <v>8</v>
      </c>
      <c r="D20" s="209" t="s">
        <v>139</v>
      </c>
      <c r="E20" s="209" t="s">
        <v>139</v>
      </c>
      <c r="F20" s="173" t="s">
        <v>157</v>
      </c>
      <c r="G20" s="173"/>
      <c r="H20" s="174" t="s">
        <v>85</v>
      </c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64" t="s">
        <v>85</v>
      </c>
      <c r="U20" s="166"/>
      <c r="V20" s="166" t="s">
        <v>132</v>
      </c>
      <c r="W20" s="166"/>
      <c r="X20" s="166"/>
      <c r="Y20" s="166"/>
      <c r="Z20" s="166" t="s">
        <v>132</v>
      </c>
      <c r="AA20" s="166"/>
      <c r="AB20" s="166"/>
      <c r="AC20" s="166"/>
      <c r="AD20" s="166"/>
      <c r="AE20" s="166"/>
      <c r="AF20" s="166"/>
      <c r="AG20" s="167"/>
      <c r="AH20" s="167"/>
    </row>
    <row r="21" spans="1:34" ht="15" customHeight="1">
      <c r="A21" s="166">
        <v>16</v>
      </c>
      <c r="B21" s="207" t="s">
        <v>158</v>
      </c>
      <c r="C21" s="208">
        <v>8</v>
      </c>
      <c r="D21" s="209" t="s">
        <v>137</v>
      </c>
      <c r="E21" s="209" t="s">
        <v>139</v>
      </c>
      <c r="F21" s="208" t="s">
        <v>135</v>
      </c>
      <c r="G21" s="173"/>
      <c r="H21" s="174" t="s">
        <v>85</v>
      </c>
      <c r="I21" s="173"/>
      <c r="J21" s="173"/>
      <c r="K21" s="173"/>
      <c r="L21" s="173"/>
      <c r="M21" s="173"/>
      <c r="N21" s="173"/>
      <c r="O21" s="173"/>
      <c r="P21" s="174" t="s">
        <v>85</v>
      </c>
      <c r="Q21" s="173"/>
      <c r="R21" s="173"/>
      <c r="S21" s="172" t="s">
        <v>84</v>
      </c>
      <c r="T21" s="166"/>
      <c r="U21" s="166"/>
      <c r="V21" s="166" t="s">
        <v>132</v>
      </c>
      <c r="W21" s="166"/>
      <c r="X21" s="166"/>
      <c r="Y21" s="166"/>
      <c r="Z21" s="166" t="s">
        <v>132</v>
      </c>
      <c r="AA21" s="166"/>
      <c r="AB21" s="166"/>
      <c r="AC21" s="166"/>
      <c r="AD21" s="166"/>
      <c r="AE21" s="166"/>
      <c r="AF21" s="166"/>
      <c r="AG21" s="167"/>
      <c r="AH21" s="167"/>
    </row>
    <row r="22" spans="1:34" ht="15" customHeight="1">
      <c r="A22" s="166">
        <v>17</v>
      </c>
      <c r="B22" s="207" t="s">
        <v>159</v>
      </c>
      <c r="C22" s="208">
        <v>8</v>
      </c>
      <c r="D22" s="209" t="s">
        <v>142</v>
      </c>
      <c r="E22" s="209" t="s">
        <v>145</v>
      </c>
      <c r="F22" s="208" t="s">
        <v>135</v>
      </c>
      <c r="G22" s="173"/>
      <c r="H22" s="173"/>
      <c r="I22" s="173"/>
      <c r="J22" s="173"/>
      <c r="K22" s="173"/>
      <c r="L22" s="172" t="s">
        <v>84</v>
      </c>
      <c r="M22" s="173"/>
      <c r="N22" s="173"/>
      <c r="O22" s="173"/>
      <c r="P22" s="173"/>
      <c r="Q22" s="173"/>
      <c r="R22" s="172" t="s">
        <v>84</v>
      </c>
      <c r="S22" s="173"/>
      <c r="T22" s="166"/>
      <c r="U22" s="166"/>
      <c r="V22" s="166" t="s">
        <v>132</v>
      </c>
      <c r="W22" s="166"/>
      <c r="X22" s="166"/>
      <c r="Y22" s="166"/>
      <c r="Z22" s="166" t="s">
        <v>132</v>
      </c>
      <c r="AA22" s="166"/>
      <c r="AB22" s="166"/>
      <c r="AC22" s="166"/>
      <c r="AD22" s="166"/>
      <c r="AE22" s="166"/>
      <c r="AF22" s="166" t="s">
        <v>132</v>
      </c>
      <c r="AG22" s="167"/>
      <c r="AH22" s="167"/>
    </row>
    <row r="23" spans="1:34" ht="15" customHeight="1">
      <c r="A23" s="166">
        <v>18</v>
      </c>
      <c r="B23" s="207" t="s">
        <v>160</v>
      </c>
      <c r="C23" s="208">
        <v>8</v>
      </c>
      <c r="D23" s="209" t="s">
        <v>130</v>
      </c>
      <c r="E23" s="209" t="s">
        <v>130</v>
      </c>
      <c r="F23" s="208" t="s">
        <v>140</v>
      </c>
      <c r="G23" s="173"/>
      <c r="H23" s="174" t="s">
        <v>85</v>
      </c>
      <c r="I23" s="173"/>
      <c r="J23" s="173"/>
      <c r="K23" s="173"/>
      <c r="L23" s="173"/>
      <c r="M23" s="173"/>
      <c r="N23" s="173"/>
      <c r="O23" s="174" t="s">
        <v>85</v>
      </c>
      <c r="P23" s="173"/>
      <c r="Q23" s="174" t="s">
        <v>85</v>
      </c>
      <c r="R23" s="173"/>
      <c r="S23" s="173"/>
      <c r="T23" s="166"/>
      <c r="U23" s="166"/>
      <c r="V23" s="166"/>
      <c r="W23" s="166" t="s">
        <v>132</v>
      </c>
      <c r="X23" s="166"/>
      <c r="Y23" s="166"/>
      <c r="Z23" s="166" t="s">
        <v>132</v>
      </c>
      <c r="AA23" s="166" t="s">
        <v>132</v>
      </c>
      <c r="AB23" s="166"/>
      <c r="AC23" s="166"/>
      <c r="AD23" s="166"/>
      <c r="AE23" s="166"/>
      <c r="AF23" s="166"/>
      <c r="AG23" s="167"/>
      <c r="AH23" s="167"/>
    </row>
    <row r="24" spans="1:34" ht="15" customHeight="1">
      <c r="A24" s="166">
        <v>19</v>
      </c>
      <c r="B24" s="207" t="s">
        <v>161</v>
      </c>
      <c r="C24" s="208">
        <v>8</v>
      </c>
      <c r="D24" s="209" t="s">
        <v>130</v>
      </c>
      <c r="E24" s="209" t="s">
        <v>139</v>
      </c>
      <c r="F24" s="208" t="s">
        <v>135</v>
      </c>
      <c r="G24" s="173"/>
      <c r="H24" s="174" t="s">
        <v>85</v>
      </c>
      <c r="I24" s="173"/>
      <c r="J24" s="173"/>
      <c r="K24" s="173"/>
      <c r="L24" s="173"/>
      <c r="M24" s="173"/>
      <c r="N24" s="173"/>
      <c r="O24" s="173"/>
      <c r="P24" s="173"/>
      <c r="Q24" s="173"/>
      <c r="R24" s="174" t="s">
        <v>85</v>
      </c>
      <c r="S24" s="173"/>
      <c r="T24" s="166"/>
      <c r="U24" s="166"/>
      <c r="V24" s="166"/>
      <c r="W24" s="166"/>
      <c r="X24" s="166"/>
      <c r="Y24" s="166"/>
      <c r="Z24" s="166" t="s">
        <v>132</v>
      </c>
      <c r="AA24" s="166"/>
      <c r="AB24" s="166"/>
      <c r="AC24" s="166"/>
      <c r="AD24" s="166" t="s">
        <v>132</v>
      </c>
      <c r="AE24" s="166"/>
      <c r="AF24" s="166" t="s">
        <v>132</v>
      </c>
      <c r="AG24" s="167"/>
      <c r="AH24" s="167"/>
    </row>
    <row r="25" spans="1:34" ht="15" customHeight="1">
      <c r="A25" s="166">
        <v>20</v>
      </c>
      <c r="B25" s="207" t="s">
        <v>162</v>
      </c>
      <c r="C25" s="208">
        <v>8</v>
      </c>
      <c r="D25" s="209" t="s">
        <v>139</v>
      </c>
      <c r="E25" s="209" t="s">
        <v>139</v>
      </c>
      <c r="F25" s="208" t="s">
        <v>135</v>
      </c>
      <c r="G25" s="173"/>
      <c r="H25" s="173"/>
      <c r="I25" s="173"/>
      <c r="J25" s="173"/>
      <c r="K25" s="173"/>
      <c r="L25" s="173"/>
      <c r="M25" s="173"/>
      <c r="N25" s="173"/>
      <c r="O25" s="173"/>
      <c r="P25" s="174" t="s">
        <v>85</v>
      </c>
      <c r="Q25" s="173"/>
      <c r="R25" s="173"/>
      <c r="S25" s="173"/>
      <c r="T25" s="166"/>
      <c r="U25" s="166"/>
      <c r="V25" s="166" t="s">
        <v>132</v>
      </c>
      <c r="W25" s="166"/>
      <c r="X25" s="166"/>
      <c r="Y25" s="166"/>
      <c r="Z25" s="166" t="s">
        <v>132</v>
      </c>
      <c r="AA25" s="166"/>
      <c r="AB25" s="166"/>
      <c r="AC25" s="166" t="s">
        <v>132</v>
      </c>
      <c r="AD25" s="166"/>
      <c r="AE25" s="166" t="s">
        <v>132</v>
      </c>
      <c r="AF25" s="166" t="s">
        <v>132</v>
      </c>
      <c r="AG25" s="167"/>
      <c r="AH25" s="167"/>
    </row>
    <row r="26" spans="1:34" ht="15" customHeight="1">
      <c r="A26" s="166">
        <v>21</v>
      </c>
      <c r="B26" s="207" t="s">
        <v>163</v>
      </c>
      <c r="C26" s="208">
        <v>8</v>
      </c>
      <c r="D26" s="209" t="s">
        <v>139</v>
      </c>
      <c r="E26" s="209" t="s">
        <v>139</v>
      </c>
      <c r="F26" s="208" t="s">
        <v>135</v>
      </c>
      <c r="G26" s="173"/>
      <c r="H26" s="174" t="s">
        <v>85</v>
      </c>
      <c r="I26" s="174" t="s">
        <v>85</v>
      </c>
      <c r="J26" s="173"/>
      <c r="K26" s="174" t="s">
        <v>85</v>
      </c>
      <c r="L26" s="173"/>
      <c r="M26" s="174" t="s">
        <v>85</v>
      </c>
      <c r="N26" s="173"/>
      <c r="O26" s="173"/>
      <c r="P26" s="173"/>
      <c r="Q26" s="173"/>
      <c r="R26" s="173"/>
      <c r="S26" s="174" t="s">
        <v>85</v>
      </c>
      <c r="T26" s="166"/>
      <c r="U26" s="166"/>
      <c r="V26" s="166"/>
      <c r="W26" s="166" t="s">
        <v>132</v>
      </c>
      <c r="X26" s="166" t="s">
        <v>132</v>
      </c>
      <c r="Y26" s="166"/>
      <c r="Z26" s="166" t="s">
        <v>132</v>
      </c>
      <c r="AA26" s="166"/>
      <c r="AB26" s="166"/>
      <c r="AC26" s="166"/>
      <c r="AD26" s="166"/>
      <c r="AE26" s="166"/>
      <c r="AF26" s="166"/>
      <c r="AG26" s="167"/>
      <c r="AH26" s="167"/>
    </row>
    <row r="27" spans="1:34" ht="15" customHeight="1">
      <c r="A27" s="166">
        <v>22</v>
      </c>
      <c r="B27" s="207" t="s">
        <v>164</v>
      </c>
      <c r="C27" s="208">
        <v>8</v>
      </c>
      <c r="D27" s="209" t="s">
        <v>139</v>
      </c>
      <c r="E27" s="209" t="s">
        <v>139</v>
      </c>
      <c r="F27" s="208" t="s">
        <v>135</v>
      </c>
      <c r="G27" s="173"/>
      <c r="H27" s="174" t="s">
        <v>85</v>
      </c>
      <c r="I27" s="172" t="s">
        <v>84</v>
      </c>
      <c r="J27" s="173"/>
      <c r="K27" s="173"/>
      <c r="L27" s="173"/>
      <c r="M27" s="173"/>
      <c r="N27" s="173"/>
      <c r="O27" s="173"/>
      <c r="P27" s="173"/>
      <c r="Q27" s="172" t="s">
        <v>84</v>
      </c>
      <c r="R27" s="173"/>
      <c r="S27" s="173"/>
      <c r="T27" s="166"/>
      <c r="U27" s="166"/>
      <c r="V27" s="166" t="s">
        <v>132</v>
      </c>
      <c r="W27" s="166"/>
      <c r="X27" s="166"/>
      <c r="Y27" s="166"/>
      <c r="Z27" s="166" t="s">
        <v>132</v>
      </c>
      <c r="AA27" s="166"/>
      <c r="AB27" s="166"/>
      <c r="AC27" s="166" t="s">
        <v>132</v>
      </c>
      <c r="AD27" s="166" t="s">
        <v>132</v>
      </c>
      <c r="AE27" s="166"/>
      <c r="AF27" s="166" t="s">
        <v>132</v>
      </c>
      <c r="AG27" s="167"/>
      <c r="AH27" s="167"/>
    </row>
    <row r="28" spans="1:34" ht="15" customHeight="1">
      <c r="A28" s="166">
        <v>23</v>
      </c>
      <c r="B28" s="207" t="s">
        <v>165</v>
      </c>
      <c r="C28" s="208">
        <v>8</v>
      </c>
      <c r="D28" s="209" t="s">
        <v>139</v>
      </c>
      <c r="E28" s="209" t="s">
        <v>139</v>
      </c>
      <c r="F28" s="208" t="s">
        <v>135</v>
      </c>
      <c r="G28" s="173"/>
      <c r="H28" s="173"/>
      <c r="I28" s="173"/>
      <c r="J28" s="173"/>
      <c r="K28" s="173"/>
      <c r="L28" s="173"/>
      <c r="M28" s="173"/>
      <c r="N28" s="173"/>
      <c r="O28" s="173"/>
      <c r="P28" s="174" t="s">
        <v>85</v>
      </c>
      <c r="Q28" s="173"/>
      <c r="R28" s="173"/>
      <c r="S28" s="173"/>
      <c r="T28" s="166"/>
      <c r="U28" s="166"/>
      <c r="V28" s="166"/>
      <c r="W28" s="166"/>
      <c r="X28" s="166"/>
      <c r="Y28" s="166"/>
      <c r="Z28" s="166"/>
      <c r="AA28" s="166"/>
      <c r="AB28" s="166"/>
      <c r="AC28" s="166" t="s">
        <v>132</v>
      </c>
      <c r="AD28" s="166"/>
      <c r="AE28" s="166" t="s">
        <v>132</v>
      </c>
      <c r="AF28" s="166"/>
      <c r="AG28" s="167"/>
      <c r="AH28" s="167"/>
    </row>
    <row r="29" spans="1:34" ht="15" customHeight="1">
      <c r="A29" s="166">
        <v>24</v>
      </c>
      <c r="B29" s="207" t="s">
        <v>166</v>
      </c>
      <c r="C29" s="208">
        <v>8</v>
      </c>
      <c r="D29" s="209" t="s">
        <v>139</v>
      </c>
      <c r="E29" s="210" t="s">
        <v>142</v>
      </c>
      <c r="F29" s="208" t="s">
        <v>135</v>
      </c>
      <c r="G29" s="173"/>
      <c r="H29" s="174" t="s">
        <v>85</v>
      </c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66"/>
      <c r="U29" s="166"/>
      <c r="V29" s="166"/>
      <c r="W29" s="166"/>
      <c r="X29" s="166"/>
      <c r="Y29" s="166"/>
      <c r="Z29" s="166" t="s">
        <v>132</v>
      </c>
      <c r="AA29" s="166"/>
      <c r="AB29" s="166"/>
      <c r="AC29" s="166" t="s">
        <v>132</v>
      </c>
      <c r="AD29" s="166"/>
      <c r="AE29" s="166"/>
      <c r="AF29" s="166"/>
      <c r="AG29" s="167"/>
      <c r="AH29" s="167"/>
    </row>
    <row r="30" spans="1:34" ht="15" customHeight="1">
      <c r="A30" s="166">
        <v>25</v>
      </c>
      <c r="B30" s="207" t="s">
        <v>167</v>
      </c>
      <c r="C30" s="208">
        <v>7</v>
      </c>
      <c r="D30" s="210" t="s">
        <v>134</v>
      </c>
      <c r="E30" s="210" t="s">
        <v>137</v>
      </c>
      <c r="F30" s="208" t="s">
        <v>135</v>
      </c>
      <c r="G30" s="173"/>
      <c r="H30" s="173"/>
      <c r="I30" s="173"/>
      <c r="J30" s="173"/>
      <c r="K30" s="173"/>
      <c r="L30" s="173"/>
      <c r="M30" s="173"/>
      <c r="N30" s="173"/>
      <c r="O30" s="173"/>
      <c r="P30" s="174" t="s">
        <v>85</v>
      </c>
      <c r="Q30" s="173"/>
      <c r="R30" s="173"/>
      <c r="S30" s="173"/>
      <c r="T30" s="166"/>
      <c r="U30" s="166"/>
      <c r="V30" s="166" t="s">
        <v>132</v>
      </c>
      <c r="W30" s="166"/>
      <c r="X30" s="166"/>
      <c r="Y30" s="166"/>
      <c r="Z30" s="166" t="s">
        <v>132</v>
      </c>
      <c r="AA30" s="166"/>
      <c r="AB30" s="166"/>
      <c r="AC30" s="166" t="s">
        <v>132</v>
      </c>
      <c r="AD30" s="166" t="s">
        <v>132</v>
      </c>
      <c r="AE30" s="166" t="s">
        <v>132</v>
      </c>
      <c r="AF30" s="166" t="s">
        <v>132</v>
      </c>
      <c r="AG30" s="167"/>
      <c r="AH30" s="167"/>
    </row>
    <row r="31" spans="1:34" ht="15" customHeight="1">
      <c r="A31" s="166">
        <v>26</v>
      </c>
      <c r="B31" s="207" t="s">
        <v>168</v>
      </c>
      <c r="C31" s="208">
        <v>8</v>
      </c>
      <c r="D31" s="209" t="s">
        <v>139</v>
      </c>
      <c r="E31" s="209" t="s">
        <v>139</v>
      </c>
      <c r="F31" s="208" t="s">
        <v>135</v>
      </c>
      <c r="G31" s="173"/>
      <c r="H31" s="174" t="s">
        <v>85</v>
      </c>
      <c r="I31" s="173"/>
      <c r="J31" s="173"/>
      <c r="K31" s="174" t="s">
        <v>85</v>
      </c>
      <c r="L31" s="174" t="s">
        <v>85</v>
      </c>
      <c r="M31" s="174" t="s">
        <v>85</v>
      </c>
      <c r="N31" s="173"/>
      <c r="O31" s="172" t="s">
        <v>84</v>
      </c>
      <c r="P31" s="173"/>
      <c r="Q31" s="173"/>
      <c r="R31" s="172" t="s">
        <v>84</v>
      </c>
      <c r="S31" s="174" t="s">
        <v>85</v>
      </c>
      <c r="T31" s="166"/>
      <c r="U31" s="166"/>
      <c r="V31" s="166"/>
      <c r="W31" s="166"/>
      <c r="X31" s="166"/>
      <c r="Y31" s="166"/>
      <c r="Z31" s="166" t="s">
        <v>132</v>
      </c>
      <c r="AA31" s="166"/>
      <c r="AB31" s="166"/>
      <c r="AC31" s="166"/>
      <c r="AD31" s="166"/>
      <c r="AE31" s="166"/>
      <c r="AF31" s="166" t="s">
        <v>132</v>
      </c>
      <c r="AG31" s="167"/>
      <c r="AH31" s="167"/>
    </row>
    <row r="32" spans="1:34" ht="15" customHeight="1">
      <c r="A32" s="166">
        <v>27</v>
      </c>
      <c r="B32" s="207" t="s">
        <v>169</v>
      </c>
      <c r="C32" s="208">
        <v>8</v>
      </c>
      <c r="D32" s="209" t="s">
        <v>139</v>
      </c>
      <c r="E32" s="210" t="s">
        <v>142</v>
      </c>
      <c r="F32" s="208" t="s">
        <v>135</v>
      </c>
      <c r="G32" s="173"/>
      <c r="H32" s="172" t="s">
        <v>84</v>
      </c>
      <c r="I32" s="173"/>
      <c r="J32" s="173"/>
      <c r="K32" s="173"/>
      <c r="L32" s="173"/>
      <c r="M32" s="173"/>
      <c r="N32" s="173"/>
      <c r="O32" s="172" t="s">
        <v>84</v>
      </c>
      <c r="P32" s="173"/>
      <c r="Q32" s="173"/>
      <c r="R32" s="173"/>
      <c r="S32" s="173"/>
      <c r="T32" s="166"/>
      <c r="U32" s="166"/>
      <c r="V32" s="166" t="s">
        <v>132</v>
      </c>
      <c r="W32" s="166"/>
      <c r="X32" s="166"/>
      <c r="Y32" s="166"/>
      <c r="Z32" s="166" t="s">
        <v>132</v>
      </c>
      <c r="AA32" s="166"/>
      <c r="AB32" s="166"/>
      <c r="AC32" s="166"/>
      <c r="AD32" s="166"/>
      <c r="AE32" s="166"/>
      <c r="AF32" s="166"/>
      <c r="AG32" s="167"/>
      <c r="AH32" s="167"/>
    </row>
    <row r="33" spans="1:34" ht="15" customHeight="1">
      <c r="A33" s="166">
        <v>28</v>
      </c>
      <c r="B33" s="207" t="s">
        <v>170</v>
      </c>
      <c r="C33" s="208">
        <v>8</v>
      </c>
      <c r="D33" s="210" t="s">
        <v>142</v>
      </c>
      <c r="E33" s="209" t="s">
        <v>145</v>
      </c>
      <c r="F33" s="208" t="s">
        <v>135</v>
      </c>
      <c r="G33" s="173"/>
      <c r="H33" s="174" t="s">
        <v>85</v>
      </c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66"/>
      <c r="U33" s="166"/>
      <c r="V33" s="166"/>
      <c r="W33" s="166"/>
      <c r="X33" s="166"/>
      <c r="Y33" s="166"/>
      <c r="Z33" s="166"/>
      <c r="AA33" s="166"/>
      <c r="AB33" s="166"/>
      <c r="AC33" s="166" t="s">
        <v>132</v>
      </c>
      <c r="AD33" s="166"/>
      <c r="AE33" s="166"/>
      <c r="AF33" s="166"/>
      <c r="AG33" s="167"/>
      <c r="AH33" s="167"/>
    </row>
    <row r="34" spans="1:34" ht="15" customHeight="1">
      <c r="A34" s="166">
        <v>29</v>
      </c>
      <c r="B34" s="207" t="s">
        <v>171</v>
      </c>
      <c r="C34" s="208">
        <v>8</v>
      </c>
      <c r="D34" s="210" t="s">
        <v>142</v>
      </c>
      <c r="E34" s="210" t="s">
        <v>142</v>
      </c>
      <c r="F34" s="208" t="s">
        <v>135</v>
      </c>
      <c r="G34" s="173"/>
      <c r="H34" s="174" t="s">
        <v>85</v>
      </c>
      <c r="I34" s="173"/>
      <c r="J34" s="173"/>
      <c r="K34" s="173"/>
      <c r="L34" s="172" t="s">
        <v>84</v>
      </c>
      <c r="M34" s="173"/>
      <c r="N34" s="173"/>
      <c r="O34" s="173"/>
      <c r="P34" s="173"/>
      <c r="Q34" s="173"/>
      <c r="R34" s="173"/>
      <c r="S34" s="173"/>
      <c r="T34" s="166"/>
      <c r="U34" s="166"/>
      <c r="V34" s="166" t="s">
        <v>132</v>
      </c>
      <c r="W34" s="166"/>
      <c r="X34" s="166"/>
      <c r="Y34" s="166"/>
      <c r="Z34" s="166" t="s">
        <v>132</v>
      </c>
      <c r="AA34" s="166"/>
      <c r="AB34" s="166"/>
      <c r="AC34" s="166" t="s">
        <v>132</v>
      </c>
      <c r="AD34" s="166"/>
      <c r="AE34" s="166"/>
      <c r="AF34" s="166" t="s">
        <v>132</v>
      </c>
      <c r="AG34" s="167"/>
      <c r="AH34" s="167"/>
    </row>
    <row r="35" spans="1:34" ht="15" customHeight="1">
      <c r="A35" s="166">
        <v>30</v>
      </c>
      <c r="B35" s="207" t="s">
        <v>172</v>
      </c>
      <c r="C35" s="208">
        <v>8</v>
      </c>
      <c r="D35" s="210" t="s">
        <v>134</v>
      </c>
      <c r="E35" s="209" t="s">
        <v>130</v>
      </c>
      <c r="F35" s="208" t="s">
        <v>135</v>
      </c>
      <c r="G35" s="173"/>
      <c r="H35" s="174" t="s">
        <v>85</v>
      </c>
      <c r="I35" s="173"/>
      <c r="J35" s="173"/>
      <c r="K35" s="173"/>
      <c r="L35" s="173"/>
      <c r="M35" s="173"/>
      <c r="N35" s="173"/>
      <c r="O35" s="174" t="s">
        <v>85</v>
      </c>
      <c r="P35" s="173"/>
      <c r="Q35" s="173"/>
      <c r="R35" s="174" t="s">
        <v>85</v>
      </c>
      <c r="S35" s="173"/>
      <c r="T35" s="166"/>
      <c r="U35" s="166"/>
      <c r="V35" s="166" t="s">
        <v>132</v>
      </c>
      <c r="W35" s="166"/>
      <c r="X35" s="166"/>
      <c r="Y35" s="166"/>
      <c r="Z35" s="166" t="s">
        <v>132</v>
      </c>
      <c r="AA35" s="166"/>
      <c r="AB35" s="166"/>
      <c r="AC35" s="166"/>
      <c r="AD35" s="166"/>
      <c r="AE35" s="166"/>
      <c r="AF35" s="166" t="s">
        <v>132</v>
      </c>
      <c r="AG35" s="167"/>
      <c r="AH35" s="167"/>
    </row>
    <row r="36" spans="1:34" ht="15" customHeight="1">
      <c r="A36" s="166">
        <v>31</v>
      </c>
      <c r="B36" s="207" t="s">
        <v>173</v>
      </c>
      <c r="C36" s="208">
        <v>8</v>
      </c>
      <c r="D36" s="209" t="s">
        <v>137</v>
      </c>
      <c r="E36" s="210" t="s">
        <v>142</v>
      </c>
      <c r="F36" s="173" t="s">
        <v>131</v>
      </c>
      <c r="G36" s="173"/>
      <c r="H36" s="174" t="s">
        <v>85</v>
      </c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66"/>
      <c r="U36" s="166"/>
      <c r="V36" s="166"/>
      <c r="W36" s="166"/>
      <c r="X36" s="166"/>
      <c r="Y36" s="166"/>
      <c r="Z36" s="166" t="s">
        <v>132</v>
      </c>
      <c r="AA36" s="166"/>
      <c r="AB36" s="166"/>
      <c r="AC36" s="166" t="s">
        <v>132</v>
      </c>
      <c r="AD36" s="166"/>
      <c r="AE36" s="166"/>
      <c r="AF36" s="166"/>
      <c r="AG36" s="167"/>
      <c r="AH36" s="167"/>
    </row>
    <row r="37" spans="1:34" ht="15" customHeight="1">
      <c r="A37" s="166">
        <v>32</v>
      </c>
      <c r="B37" s="207" t="s">
        <v>174</v>
      </c>
      <c r="C37" s="208">
        <v>8</v>
      </c>
      <c r="D37" s="209" t="s">
        <v>137</v>
      </c>
      <c r="E37" s="210" t="s">
        <v>137</v>
      </c>
      <c r="F37" s="208" t="s">
        <v>135</v>
      </c>
      <c r="G37" s="173"/>
      <c r="H37" s="174" t="s">
        <v>85</v>
      </c>
      <c r="I37" s="174" t="s">
        <v>85</v>
      </c>
      <c r="J37" s="173"/>
      <c r="K37" s="174" t="s">
        <v>85</v>
      </c>
      <c r="L37" s="174" t="s">
        <v>85</v>
      </c>
      <c r="M37" s="174" t="s">
        <v>85</v>
      </c>
      <c r="N37" s="173"/>
      <c r="O37" s="173"/>
      <c r="P37" s="173"/>
      <c r="Q37" s="173"/>
      <c r="R37" s="174" t="s">
        <v>85</v>
      </c>
      <c r="S37" s="173"/>
      <c r="T37" s="166"/>
      <c r="U37" s="166"/>
      <c r="V37" s="166" t="s">
        <v>132</v>
      </c>
      <c r="W37" s="166"/>
      <c r="X37" s="166"/>
      <c r="Y37" s="166"/>
      <c r="Z37" s="166" t="s">
        <v>132</v>
      </c>
      <c r="AA37" s="166"/>
      <c r="AB37" s="166"/>
      <c r="AC37" s="166" t="s">
        <v>132</v>
      </c>
      <c r="AD37" s="166" t="s">
        <v>132</v>
      </c>
      <c r="AE37" s="166"/>
      <c r="AF37" s="166" t="s">
        <v>132</v>
      </c>
      <c r="AG37" s="167"/>
      <c r="AH37" s="167"/>
    </row>
    <row r="38" spans="1:34" ht="15" customHeight="1">
      <c r="A38" s="166">
        <v>33</v>
      </c>
      <c r="B38" s="207" t="s">
        <v>175</v>
      </c>
      <c r="C38" s="173">
        <v>7</v>
      </c>
      <c r="D38" s="209" t="s">
        <v>130</v>
      </c>
      <c r="E38" s="209" t="s">
        <v>139</v>
      </c>
      <c r="F38" s="208" t="s">
        <v>135</v>
      </c>
      <c r="G38" s="173"/>
      <c r="H38" s="174" t="s">
        <v>85</v>
      </c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64" t="s">
        <v>85</v>
      </c>
      <c r="U38" s="166"/>
      <c r="V38" s="166"/>
      <c r="W38" s="166"/>
      <c r="X38" s="166"/>
      <c r="Y38" s="166"/>
      <c r="Z38" s="166" t="s">
        <v>132</v>
      </c>
      <c r="AA38" s="166"/>
      <c r="AB38" s="166" t="s">
        <v>132</v>
      </c>
      <c r="AC38" s="166"/>
      <c r="AD38" s="166"/>
      <c r="AE38" s="166"/>
      <c r="AF38" s="166"/>
      <c r="AG38" s="167"/>
      <c r="AH38" s="167"/>
    </row>
    <row r="39" spans="1:34" ht="15" customHeight="1">
      <c r="A39" s="166">
        <v>34</v>
      </c>
      <c r="B39" s="207" t="s">
        <v>176</v>
      </c>
      <c r="C39" s="173">
        <v>8</v>
      </c>
      <c r="D39" s="209" t="s">
        <v>139</v>
      </c>
      <c r="E39" s="209" t="s">
        <v>139</v>
      </c>
      <c r="F39" s="208" t="s">
        <v>135</v>
      </c>
      <c r="G39" s="173"/>
      <c r="H39" s="174" t="s">
        <v>85</v>
      </c>
      <c r="I39" s="173"/>
      <c r="J39" s="173"/>
      <c r="K39" s="173"/>
      <c r="L39" s="173"/>
      <c r="M39" s="173"/>
      <c r="N39" s="173"/>
      <c r="O39" s="173"/>
      <c r="P39" s="173"/>
      <c r="Q39" s="173"/>
      <c r="R39" s="174" t="s">
        <v>85</v>
      </c>
      <c r="S39" s="174" t="s">
        <v>85</v>
      </c>
      <c r="T39" s="166"/>
      <c r="U39" s="166"/>
      <c r="V39" s="166" t="s">
        <v>132</v>
      </c>
      <c r="W39" s="166" t="s">
        <v>132</v>
      </c>
      <c r="X39" s="166"/>
      <c r="Y39" s="166"/>
      <c r="Z39" s="166" t="s">
        <v>132</v>
      </c>
      <c r="AA39" s="166"/>
      <c r="AB39" s="166" t="s">
        <v>132</v>
      </c>
      <c r="AC39" s="166" t="s">
        <v>132</v>
      </c>
      <c r="AD39" s="166" t="s">
        <v>132</v>
      </c>
      <c r="AE39" s="166"/>
      <c r="AF39" s="166" t="s">
        <v>132</v>
      </c>
      <c r="AG39" s="167"/>
      <c r="AH39" s="167"/>
    </row>
    <row r="40" spans="1:34" ht="15" customHeight="1">
      <c r="A40" s="166">
        <v>35</v>
      </c>
      <c r="B40" s="207" t="s">
        <v>177</v>
      </c>
      <c r="C40" s="173">
        <v>8</v>
      </c>
      <c r="D40" s="209" t="s">
        <v>139</v>
      </c>
      <c r="E40" s="209" t="s">
        <v>145</v>
      </c>
      <c r="F40" s="173" t="s">
        <v>140</v>
      </c>
      <c r="G40" s="173"/>
      <c r="H40" s="174" t="s">
        <v>85</v>
      </c>
      <c r="I40" s="173"/>
      <c r="J40" s="173"/>
      <c r="K40" s="173"/>
      <c r="L40" s="173"/>
      <c r="M40" s="174" t="s">
        <v>85</v>
      </c>
      <c r="N40" s="173"/>
      <c r="O40" s="174" t="s">
        <v>85</v>
      </c>
      <c r="P40" s="174" t="s">
        <v>85</v>
      </c>
      <c r="Q40" s="173"/>
      <c r="R40" s="173"/>
      <c r="S40" s="174" t="s">
        <v>85</v>
      </c>
      <c r="T40" s="164" t="s">
        <v>85</v>
      </c>
      <c r="U40" s="164" t="s">
        <v>85</v>
      </c>
      <c r="V40" s="166" t="s">
        <v>132</v>
      </c>
      <c r="W40" s="166"/>
      <c r="X40" s="166"/>
      <c r="Y40" s="166"/>
      <c r="Z40" s="166" t="s">
        <v>132</v>
      </c>
      <c r="AA40" s="166"/>
      <c r="AB40" s="166" t="s">
        <v>132</v>
      </c>
      <c r="AC40" s="166"/>
      <c r="AD40" s="166"/>
      <c r="AE40" s="166"/>
      <c r="AF40" s="166"/>
      <c r="AG40" s="167"/>
      <c r="AH40" s="167"/>
    </row>
    <row r="41" spans="1:34" ht="15" customHeight="1">
      <c r="A41" s="166">
        <v>36</v>
      </c>
      <c r="B41" s="207" t="s">
        <v>178</v>
      </c>
      <c r="C41" s="173">
        <v>8</v>
      </c>
      <c r="D41" s="210" t="s">
        <v>142</v>
      </c>
      <c r="E41" s="210" t="s">
        <v>142</v>
      </c>
      <c r="F41" s="208" t="s">
        <v>135</v>
      </c>
      <c r="G41" s="173"/>
      <c r="H41" s="173"/>
      <c r="I41" s="173"/>
      <c r="J41" s="173"/>
      <c r="K41" s="173"/>
      <c r="L41" s="173"/>
      <c r="M41" s="173"/>
      <c r="N41" s="173"/>
      <c r="O41" s="173"/>
      <c r="P41" s="174" t="s">
        <v>85</v>
      </c>
      <c r="Q41" s="173"/>
      <c r="R41" s="174" t="s">
        <v>85</v>
      </c>
      <c r="S41" s="174" t="s">
        <v>85</v>
      </c>
      <c r="T41" s="166"/>
      <c r="U41" s="166"/>
      <c r="V41" s="166"/>
      <c r="W41" s="166"/>
      <c r="X41" s="166"/>
      <c r="Y41" s="166"/>
      <c r="Z41" s="166"/>
      <c r="AA41" s="166"/>
      <c r="AB41" s="166"/>
      <c r="AC41" s="166" t="s">
        <v>132</v>
      </c>
      <c r="AD41" s="166"/>
      <c r="AE41" s="166"/>
      <c r="AF41" s="166"/>
      <c r="AG41" s="167"/>
      <c r="AH41" s="167"/>
    </row>
    <row r="42" spans="1:34" ht="15" customHeight="1">
      <c r="A42" s="166">
        <v>37</v>
      </c>
      <c r="B42" s="207" t="s">
        <v>179</v>
      </c>
      <c r="C42" s="173">
        <v>8</v>
      </c>
      <c r="D42" s="209" t="s">
        <v>139</v>
      </c>
      <c r="E42" s="209" t="s">
        <v>139</v>
      </c>
      <c r="F42" s="208" t="s">
        <v>135</v>
      </c>
      <c r="G42" s="173"/>
      <c r="H42" s="174" t="s">
        <v>85</v>
      </c>
      <c r="I42" s="174" t="s">
        <v>85</v>
      </c>
      <c r="J42" s="173"/>
      <c r="K42" s="173"/>
      <c r="L42" s="173"/>
      <c r="M42" s="173"/>
      <c r="N42" s="173"/>
      <c r="O42" s="173"/>
      <c r="P42" s="173"/>
      <c r="Q42" s="173"/>
      <c r="R42" s="174" t="s">
        <v>85</v>
      </c>
      <c r="S42" s="173"/>
      <c r="T42" s="166"/>
      <c r="U42" s="166"/>
      <c r="V42" s="166" t="s">
        <v>132</v>
      </c>
      <c r="W42" s="166"/>
      <c r="X42" s="166"/>
      <c r="Y42" s="166"/>
      <c r="Z42" s="166" t="s">
        <v>132</v>
      </c>
      <c r="AA42" s="166"/>
      <c r="AB42" s="166" t="s">
        <v>132</v>
      </c>
      <c r="AC42" s="166" t="s">
        <v>132</v>
      </c>
      <c r="AD42" s="166"/>
      <c r="AE42" s="166"/>
      <c r="AF42" s="166"/>
      <c r="AG42" s="167"/>
      <c r="AH42" s="167"/>
    </row>
    <row r="43" spans="1:34" ht="15" customHeight="1">
      <c r="A43" s="166">
        <v>38</v>
      </c>
      <c r="B43" s="207" t="s">
        <v>180</v>
      </c>
      <c r="C43" s="173">
        <v>7</v>
      </c>
      <c r="D43" s="209" t="s">
        <v>130</v>
      </c>
      <c r="E43" s="209" t="s">
        <v>130</v>
      </c>
      <c r="F43" s="173" t="s">
        <v>155</v>
      </c>
      <c r="G43" s="173"/>
      <c r="H43" s="174" t="s">
        <v>85</v>
      </c>
      <c r="I43" s="174" t="s">
        <v>85</v>
      </c>
      <c r="J43" s="173"/>
      <c r="K43" s="173"/>
      <c r="L43" s="173"/>
      <c r="M43" s="173"/>
      <c r="N43" s="173"/>
      <c r="O43" s="174" t="s">
        <v>85</v>
      </c>
      <c r="P43" s="174" t="s">
        <v>85</v>
      </c>
      <c r="Q43" s="173"/>
      <c r="R43" s="174" t="s">
        <v>85</v>
      </c>
      <c r="S43" s="173"/>
      <c r="T43" s="166"/>
      <c r="U43" s="166"/>
      <c r="V43" s="166" t="s">
        <v>132</v>
      </c>
      <c r="W43" s="166"/>
      <c r="X43" s="166"/>
      <c r="Y43" s="166"/>
      <c r="Z43" s="166" t="s">
        <v>132</v>
      </c>
      <c r="AA43" s="166"/>
      <c r="AB43" s="166" t="s">
        <v>132</v>
      </c>
      <c r="AC43" s="166"/>
      <c r="AD43" s="166"/>
      <c r="AE43" s="166"/>
      <c r="AF43" s="166"/>
      <c r="AG43" s="167"/>
      <c r="AH43" s="167"/>
    </row>
    <row r="44" spans="1:34" ht="15" customHeight="1">
      <c r="A44" s="166">
        <v>39</v>
      </c>
      <c r="B44" s="207" t="s">
        <v>181</v>
      </c>
      <c r="C44" s="173">
        <v>8</v>
      </c>
      <c r="D44" s="209" t="s">
        <v>130</v>
      </c>
      <c r="E44" s="210" t="s">
        <v>142</v>
      </c>
      <c r="F44" s="208" t="s">
        <v>135</v>
      </c>
      <c r="G44" s="173"/>
      <c r="H44" s="174" t="s">
        <v>85</v>
      </c>
      <c r="I44" s="174" t="s">
        <v>85</v>
      </c>
      <c r="J44" s="173"/>
      <c r="K44" s="173"/>
      <c r="L44" s="173"/>
      <c r="M44" s="173"/>
      <c r="N44" s="173"/>
      <c r="O44" s="173"/>
      <c r="P44" s="173"/>
      <c r="Q44" s="173"/>
      <c r="R44" s="174" t="s">
        <v>85</v>
      </c>
      <c r="S44" s="173"/>
      <c r="T44" s="166"/>
      <c r="U44" s="166"/>
      <c r="V44" s="166"/>
      <c r="W44" s="166"/>
      <c r="X44" s="166"/>
      <c r="Y44" s="166"/>
      <c r="Z44" s="166" t="s">
        <v>132</v>
      </c>
      <c r="AA44" s="166"/>
      <c r="AB44" s="166" t="s">
        <v>132</v>
      </c>
      <c r="AC44" s="166" t="s">
        <v>132</v>
      </c>
      <c r="AD44" s="166"/>
      <c r="AE44" s="166"/>
      <c r="AF44" s="166" t="s">
        <v>132</v>
      </c>
      <c r="AG44" s="167"/>
      <c r="AH44" s="167"/>
    </row>
    <row r="45" spans="1:34" ht="15" customHeight="1">
      <c r="A45" s="166">
        <v>40</v>
      </c>
      <c r="B45" s="207" t="s">
        <v>182</v>
      </c>
      <c r="C45" s="173">
        <v>7</v>
      </c>
      <c r="D45" s="210" t="s">
        <v>134</v>
      </c>
      <c r="E45" s="209" t="s">
        <v>145</v>
      </c>
      <c r="F45" s="173" t="s">
        <v>131</v>
      </c>
      <c r="G45" s="173"/>
      <c r="H45" s="174" t="s">
        <v>85</v>
      </c>
      <c r="I45" s="173"/>
      <c r="J45" s="173"/>
      <c r="K45" s="173"/>
      <c r="L45" s="173"/>
      <c r="M45" s="173"/>
      <c r="N45" s="173"/>
      <c r="O45" s="174" t="s">
        <v>85</v>
      </c>
      <c r="P45" s="173"/>
      <c r="Q45" s="173"/>
      <c r="R45" s="173"/>
      <c r="S45" s="173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7"/>
      <c r="AH45" s="167"/>
    </row>
    <row r="46" spans="1:34" ht="15" customHeight="1">
      <c r="A46" s="166">
        <v>41</v>
      </c>
      <c r="B46" s="207" t="s">
        <v>183</v>
      </c>
      <c r="C46" s="173">
        <v>7</v>
      </c>
      <c r="D46" s="210" t="s">
        <v>134</v>
      </c>
      <c r="E46" s="210" t="s">
        <v>142</v>
      </c>
      <c r="F46" s="173" t="s">
        <v>140</v>
      </c>
      <c r="G46" s="173"/>
      <c r="H46" s="174" t="s">
        <v>85</v>
      </c>
      <c r="I46" s="172" t="s">
        <v>84</v>
      </c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66"/>
      <c r="U46" s="166"/>
      <c r="V46" s="166" t="s">
        <v>132</v>
      </c>
      <c r="W46" s="166"/>
      <c r="X46" s="166"/>
      <c r="Y46" s="166"/>
      <c r="Z46" s="166"/>
      <c r="AA46" s="166"/>
      <c r="AB46" s="166" t="s">
        <v>132</v>
      </c>
      <c r="AC46" s="166" t="s">
        <v>132</v>
      </c>
      <c r="AD46" s="166" t="s">
        <v>132</v>
      </c>
      <c r="AE46" s="166"/>
      <c r="AF46" s="166" t="s">
        <v>132</v>
      </c>
      <c r="AG46" s="167"/>
      <c r="AH46" s="167"/>
    </row>
    <row r="47" spans="1:34" ht="15" customHeight="1">
      <c r="A47" s="166">
        <v>42</v>
      </c>
      <c r="B47" s="207" t="s">
        <v>184</v>
      </c>
      <c r="C47" s="173">
        <v>8</v>
      </c>
      <c r="D47" s="210" t="s">
        <v>142</v>
      </c>
      <c r="E47" s="210" t="s">
        <v>142</v>
      </c>
      <c r="F47" s="208" t="s">
        <v>135</v>
      </c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4" t="s">
        <v>85</v>
      </c>
      <c r="R47" s="174" t="s">
        <v>85</v>
      </c>
      <c r="S47" s="173"/>
      <c r="T47" s="166"/>
      <c r="U47" s="166"/>
      <c r="V47" s="166"/>
      <c r="W47" s="166"/>
      <c r="X47" s="166"/>
      <c r="Y47" s="166" t="s">
        <v>132</v>
      </c>
      <c r="Z47" s="166" t="s">
        <v>132</v>
      </c>
      <c r="AA47" s="166"/>
      <c r="AB47" s="166" t="s">
        <v>132</v>
      </c>
      <c r="AC47" s="166"/>
      <c r="AD47" s="166"/>
      <c r="AE47" s="166"/>
      <c r="AF47" s="166" t="s">
        <v>132</v>
      </c>
      <c r="AG47" s="167"/>
      <c r="AH47" s="167"/>
    </row>
    <row r="48" spans="1:34" ht="15" customHeight="1">
      <c r="A48" s="166">
        <v>43</v>
      </c>
      <c r="B48" s="207" t="s">
        <v>185</v>
      </c>
      <c r="C48" s="173">
        <v>8</v>
      </c>
      <c r="D48" s="209" t="s">
        <v>139</v>
      </c>
      <c r="E48" s="209" t="s">
        <v>139</v>
      </c>
      <c r="F48" s="208" t="s">
        <v>135</v>
      </c>
      <c r="G48" s="172" t="s">
        <v>84</v>
      </c>
      <c r="H48" s="174" t="s">
        <v>85</v>
      </c>
      <c r="I48" s="173"/>
      <c r="J48" s="173"/>
      <c r="K48" s="172" t="s">
        <v>84</v>
      </c>
      <c r="L48" s="172" t="s">
        <v>84</v>
      </c>
      <c r="M48" s="173"/>
      <c r="N48" s="173"/>
      <c r="O48" s="173"/>
      <c r="P48" s="173"/>
      <c r="Q48" s="174" t="s">
        <v>85</v>
      </c>
      <c r="R48" s="174" t="s">
        <v>85</v>
      </c>
      <c r="S48" s="173"/>
      <c r="T48" s="165" t="s">
        <v>84</v>
      </c>
      <c r="U48" s="166"/>
      <c r="V48" s="166" t="s">
        <v>132</v>
      </c>
      <c r="W48" s="166"/>
      <c r="X48" s="166" t="s">
        <v>132</v>
      </c>
      <c r="Y48" s="166"/>
      <c r="Z48" s="166" t="s">
        <v>132</v>
      </c>
      <c r="AA48" s="166"/>
      <c r="AB48" s="166" t="s">
        <v>132</v>
      </c>
      <c r="AC48" s="166" t="s">
        <v>132</v>
      </c>
      <c r="AD48" s="166"/>
      <c r="AE48" s="166" t="s">
        <v>132</v>
      </c>
      <c r="AF48" s="166" t="s">
        <v>132</v>
      </c>
      <c r="AG48" s="167"/>
      <c r="AH48" s="167"/>
    </row>
    <row r="49" spans="1:34" ht="15" customHeight="1">
      <c r="A49" s="166">
        <v>44</v>
      </c>
      <c r="B49" s="207" t="s">
        <v>186</v>
      </c>
      <c r="C49" s="173">
        <v>6</v>
      </c>
      <c r="D49" s="210" t="s">
        <v>134</v>
      </c>
      <c r="E49" s="209" t="s">
        <v>130</v>
      </c>
      <c r="F49" s="173" t="s">
        <v>155</v>
      </c>
      <c r="G49" s="174" t="s">
        <v>85</v>
      </c>
      <c r="H49" s="174" t="s">
        <v>85</v>
      </c>
      <c r="I49" s="174" t="s">
        <v>85</v>
      </c>
      <c r="J49" s="174" t="s">
        <v>85</v>
      </c>
      <c r="K49" s="174" t="s">
        <v>85</v>
      </c>
      <c r="L49" s="174" t="s">
        <v>85</v>
      </c>
      <c r="M49" s="174" t="s">
        <v>85</v>
      </c>
      <c r="N49" s="174" t="s">
        <v>85</v>
      </c>
      <c r="O49" s="174" t="s">
        <v>85</v>
      </c>
      <c r="P49" s="174" t="s">
        <v>85</v>
      </c>
      <c r="Q49" s="174" t="s">
        <v>85</v>
      </c>
      <c r="R49" s="174" t="s">
        <v>85</v>
      </c>
      <c r="S49" s="174" t="s">
        <v>85</v>
      </c>
      <c r="T49" s="164" t="s">
        <v>85</v>
      </c>
      <c r="U49" s="164" t="s">
        <v>85</v>
      </c>
      <c r="V49" s="166" t="s">
        <v>132</v>
      </c>
      <c r="W49" s="166" t="s">
        <v>132</v>
      </c>
      <c r="X49" s="166" t="s">
        <v>132</v>
      </c>
      <c r="Y49" s="166" t="s">
        <v>132</v>
      </c>
      <c r="Z49" s="166" t="s">
        <v>132</v>
      </c>
      <c r="AA49" s="166" t="s">
        <v>132</v>
      </c>
      <c r="AB49" s="166" t="s">
        <v>132</v>
      </c>
      <c r="AC49" s="166" t="s">
        <v>132</v>
      </c>
      <c r="AD49" s="166" t="s">
        <v>132</v>
      </c>
      <c r="AE49" s="166"/>
      <c r="AF49" s="166" t="s">
        <v>132</v>
      </c>
      <c r="AG49" s="167"/>
      <c r="AH49" s="167"/>
    </row>
    <row r="50" spans="1:34" ht="15" customHeight="1">
      <c r="A50" s="166">
        <v>45</v>
      </c>
      <c r="B50" s="207" t="s">
        <v>187</v>
      </c>
      <c r="C50" s="173">
        <v>6</v>
      </c>
      <c r="D50" s="210" t="s">
        <v>134</v>
      </c>
      <c r="E50" s="210" t="s">
        <v>134</v>
      </c>
      <c r="F50" s="173" t="s">
        <v>188</v>
      </c>
      <c r="G50" s="174" t="s">
        <v>85</v>
      </c>
      <c r="H50" s="174" t="s">
        <v>85</v>
      </c>
      <c r="I50" s="174" t="s">
        <v>85</v>
      </c>
      <c r="J50" s="174" t="s">
        <v>85</v>
      </c>
      <c r="K50" s="174" t="s">
        <v>85</v>
      </c>
      <c r="L50" s="174" t="s">
        <v>85</v>
      </c>
      <c r="M50" s="174" t="s">
        <v>85</v>
      </c>
      <c r="N50" s="174" t="s">
        <v>85</v>
      </c>
      <c r="O50" s="174" t="s">
        <v>85</v>
      </c>
      <c r="P50" s="174" t="s">
        <v>85</v>
      </c>
      <c r="Q50" s="174" t="s">
        <v>85</v>
      </c>
      <c r="R50" s="174" t="s">
        <v>85</v>
      </c>
      <c r="S50" s="174" t="s">
        <v>85</v>
      </c>
      <c r="T50" s="164" t="s">
        <v>85</v>
      </c>
      <c r="U50" s="164" t="s">
        <v>85</v>
      </c>
      <c r="V50" s="166" t="s">
        <v>132</v>
      </c>
      <c r="W50" s="166" t="s">
        <v>132</v>
      </c>
      <c r="X50" s="166" t="s">
        <v>132</v>
      </c>
      <c r="Y50" s="166" t="s">
        <v>132</v>
      </c>
      <c r="Z50" s="166" t="s">
        <v>132</v>
      </c>
      <c r="AA50" s="166" t="s">
        <v>132</v>
      </c>
      <c r="AB50" s="166" t="s">
        <v>132</v>
      </c>
      <c r="AC50" s="166" t="s">
        <v>132</v>
      </c>
      <c r="AD50" s="166" t="s">
        <v>132</v>
      </c>
      <c r="AE50" s="166" t="s">
        <v>132</v>
      </c>
      <c r="AF50" s="166" t="s">
        <v>132</v>
      </c>
      <c r="AG50" s="166" t="s">
        <v>189</v>
      </c>
      <c r="AH50" s="167"/>
    </row>
    <row r="51" spans="1:34" ht="15" customHeight="1">
      <c r="A51" s="166">
        <v>46</v>
      </c>
      <c r="B51" s="207" t="s">
        <v>190</v>
      </c>
      <c r="C51" s="173">
        <v>8.1999999999999993</v>
      </c>
      <c r="D51" s="209" t="s">
        <v>139</v>
      </c>
      <c r="E51" s="209" t="s">
        <v>145</v>
      </c>
      <c r="F51" s="173" t="s">
        <v>147</v>
      </c>
      <c r="G51" s="173"/>
      <c r="H51" s="173"/>
      <c r="I51" s="173"/>
      <c r="J51" s="173"/>
      <c r="K51" s="173"/>
      <c r="L51" s="173"/>
      <c r="M51" s="173"/>
      <c r="N51" s="173"/>
      <c r="O51" s="173"/>
      <c r="P51" s="174" t="s">
        <v>85</v>
      </c>
      <c r="Q51" s="173"/>
      <c r="R51" s="173"/>
      <c r="S51" s="173"/>
      <c r="T51" s="166"/>
      <c r="U51" s="166"/>
      <c r="V51" s="166"/>
      <c r="W51" s="166"/>
      <c r="X51" s="166"/>
      <c r="Y51" s="166"/>
      <c r="Z51" s="166" t="s">
        <v>132</v>
      </c>
      <c r="AA51" s="166"/>
      <c r="AB51" s="166"/>
      <c r="AC51" s="166" t="s">
        <v>132</v>
      </c>
      <c r="AD51" s="166"/>
      <c r="AE51" s="166" t="s">
        <v>132</v>
      </c>
      <c r="AF51" s="166"/>
      <c r="AG51" s="167"/>
      <c r="AH51" s="167"/>
    </row>
    <row r="52" spans="1:34" ht="15" customHeight="1">
      <c r="A52" s="166">
        <v>47</v>
      </c>
      <c r="B52" s="207" t="s">
        <v>191</v>
      </c>
      <c r="C52" s="173">
        <v>7</v>
      </c>
      <c r="D52" s="210" t="s">
        <v>142</v>
      </c>
      <c r="E52" s="210" t="s">
        <v>142</v>
      </c>
      <c r="F52" s="208" t="s">
        <v>135</v>
      </c>
      <c r="G52" s="179"/>
      <c r="H52" s="172" t="s">
        <v>84</v>
      </c>
      <c r="I52" s="174" t="s">
        <v>85</v>
      </c>
      <c r="J52" s="178"/>
      <c r="K52" s="172" t="s">
        <v>84</v>
      </c>
      <c r="L52" s="178"/>
      <c r="M52" s="178"/>
      <c r="N52" s="178"/>
      <c r="O52" s="178"/>
      <c r="P52" s="177"/>
      <c r="Q52" s="172" t="s">
        <v>84</v>
      </c>
      <c r="R52" s="174" t="s">
        <v>85</v>
      </c>
      <c r="S52" s="189"/>
      <c r="T52" s="168"/>
      <c r="U52" s="168"/>
      <c r="V52" s="166" t="s">
        <v>132</v>
      </c>
      <c r="W52" s="166"/>
      <c r="X52" s="166"/>
      <c r="Y52" s="166"/>
      <c r="Z52" s="166" t="s">
        <v>132</v>
      </c>
      <c r="AA52" s="166"/>
      <c r="AB52" s="166"/>
      <c r="AC52" s="166"/>
      <c r="AD52" s="166"/>
      <c r="AE52" s="166"/>
      <c r="AF52" s="166"/>
      <c r="AG52" s="167"/>
      <c r="AH52" s="167"/>
    </row>
    <row r="53" spans="1:34" ht="15" customHeight="1">
      <c r="A53" s="166">
        <v>48</v>
      </c>
      <c r="B53" s="207" t="s">
        <v>192</v>
      </c>
      <c r="C53" s="173">
        <v>7</v>
      </c>
      <c r="D53" s="209" t="s">
        <v>139</v>
      </c>
      <c r="E53" s="210" t="s">
        <v>142</v>
      </c>
      <c r="F53" s="208" t="s">
        <v>135</v>
      </c>
      <c r="G53" s="179"/>
      <c r="H53" s="174" t="s">
        <v>85</v>
      </c>
      <c r="I53" s="179"/>
      <c r="J53" s="178"/>
      <c r="K53" s="174" t="s">
        <v>85</v>
      </c>
      <c r="L53" s="178"/>
      <c r="M53" s="178"/>
      <c r="N53" s="178"/>
      <c r="O53" s="178"/>
      <c r="P53" s="174" t="s">
        <v>85</v>
      </c>
      <c r="Q53" s="177"/>
      <c r="R53" s="177"/>
      <c r="S53" s="189"/>
      <c r="T53" s="168"/>
      <c r="U53" s="168"/>
      <c r="V53" s="168"/>
      <c r="W53" s="166"/>
      <c r="X53" s="166"/>
      <c r="Y53" s="166"/>
      <c r="Z53" s="166" t="s">
        <v>132</v>
      </c>
      <c r="AA53" s="166"/>
      <c r="AB53" s="166"/>
      <c r="AC53" s="166" t="s">
        <v>132</v>
      </c>
      <c r="AD53" s="166"/>
      <c r="AE53" s="166" t="s">
        <v>132</v>
      </c>
      <c r="AF53" s="166"/>
      <c r="AG53" s="167"/>
      <c r="AH53" s="167"/>
    </row>
    <row r="54" spans="1:34" ht="15" customHeight="1">
      <c r="A54" s="166">
        <v>49</v>
      </c>
      <c r="B54" s="207" t="s">
        <v>193</v>
      </c>
      <c r="C54" s="173">
        <v>8.1</v>
      </c>
      <c r="D54" s="210" t="s">
        <v>145</v>
      </c>
      <c r="E54" s="209" t="s">
        <v>145</v>
      </c>
      <c r="F54" s="208" t="s">
        <v>135</v>
      </c>
      <c r="G54" s="179"/>
      <c r="H54" s="179"/>
      <c r="I54" s="211" t="s">
        <v>83</v>
      </c>
      <c r="J54" s="178"/>
      <c r="K54" s="172" t="s">
        <v>84</v>
      </c>
      <c r="L54" s="178"/>
      <c r="M54" s="172" t="s">
        <v>84</v>
      </c>
      <c r="N54" s="172" t="s">
        <v>84</v>
      </c>
      <c r="O54" s="178"/>
      <c r="P54" s="172" t="s">
        <v>84</v>
      </c>
      <c r="Q54" s="172" t="s">
        <v>84</v>
      </c>
      <c r="R54" s="177"/>
      <c r="S54" s="211" t="s">
        <v>83</v>
      </c>
      <c r="T54" s="168"/>
      <c r="U54" s="168"/>
      <c r="V54" s="168"/>
      <c r="W54" s="166" t="s">
        <v>132</v>
      </c>
      <c r="X54" s="166"/>
      <c r="Y54" s="166"/>
      <c r="Z54" s="166" t="s">
        <v>132</v>
      </c>
      <c r="AA54" s="166"/>
      <c r="AB54" s="166"/>
      <c r="AC54" s="166" t="s">
        <v>132</v>
      </c>
      <c r="AD54" s="166" t="s">
        <v>132</v>
      </c>
      <c r="AE54" s="166"/>
      <c r="AF54" s="166"/>
      <c r="AG54" s="167"/>
      <c r="AH54" s="167"/>
    </row>
    <row r="55" spans="1:34" ht="15" customHeight="1">
      <c r="A55" s="166">
        <v>50</v>
      </c>
      <c r="B55" s="207" t="s">
        <v>194</v>
      </c>
      <c r="C55" s="173">
        <v>7</v>
      </c>
      <c r="D55" s="210" t="s">
        <v>142</v>
      </c>
      <c r="E55" s="210" t="s">
        <v>142</v>
      </c>
      <c r="F55" s="208" t="s">
        <v>135</v>
      </c>
      <c r="G55" s="211" t="s">
        <v>83</v>
      </c>
      <c r="H55" s="211" t="s">
        <v>83</v>
      </c>
      <c r="I55" s="179"/>
      <c r="J55" s="178"/>
      <c r="K55" s="172" t="s">
        <v>84</v>
      </c>
      <c r="L55" s="174" t="s">
        <v>85</v>
      </c>
      <c r="M55" s="174" t="s">
        <v>85</v>
      </c>
      <c r="N55" s="178"/>
      <c r="O55" s="178"/>
      <c r="P55" s="177"/>
      <c r="Q55" s="172" t="s">
        <v>84</v>
      </c>
      <c r="R55" s="174" t="s">
        <v>85</v>
      </c>
      <c r="S55" s="189"/>
      <c r="T55" s="168"/>
      <c r="U55" s="168"/>
      <c r="V55" s="166" t="s">
        <v>132</v>
      </c>
      <c r="W55" s="166"/>
      <c r="X55" s="166"/>
      <c r="Y55" s="166"/>
      <c r="Z55" s="166" t="s">
        <v>132</v>
      </c>
      <c r="AA55" s="166"/>
      <c r="AB55" s="166"/>
      <c r="AC55" s="166"/>
      <c r="AD55" s="166"/>
      <c r="AE55" s="166"/>
      <c r="AF55" s="166"/>
      <c r="AG55" s="167"/>
      <c r="AH55" s="167"/>
    </row>
    <row r="56" spans="1:34" ht="15" customHeight="1">
      <c r="A56" s="166">
        <v>51</v>
      </c>
      <c r="B56" s="207" t="s">
        <v>195</v>
      </c>
      <c r="C56" s="173">
        <v>7</v>
      </c>
      <c r="D56" s="209" t="s">
        <v>139</v>
      </c>
      <c r="E56" s="209" t="s">
        <v>139</v>
      </c>
      <c r="F56" s="208" t="s">
        <v>135</v>
      </c>
      <c r="G56" s="179"/>
      <c r="H56" s="211" t="s">
        <v>83</v>
      </c>
      <c r="I56" s="179"/>
      <c r="J56" s="178"/>
      <c r="K56" s="178"/>
      <c r="L56" s="178"/>
      <c r="M56" s="178"/>
      <c r="N56" s="178"/>
      <c r="O56" s="178"/>
      <c r="P56" s="174" t="s">
        <v>85</v>
      </c>
      <c r="Q56" s="177"/>
      <c r="R56" s="174" t="s">
        <v>85</v>
      </c>
      <c r="S56" s="189"/>
      <c r="T56" s="168"/>
      <c r="U56" s="168"/>
      <c r="V56" s="168"/>
      <c r="W56" s="166"/>
      <c r="X56" s="166" t="s">
        <v>132</v>
      </c>
      <c r="Y56" s="166"/>
      <c r="Z56" s="166" t="s">
        <v>132</v>
      </c>
      <c r="AA56" s="166"/>
      <c r="AB56" s="166"/>
      <c r="AC56" s="166" t="s">
        <v>132</v>
      </c>
      <c r="AD56" s="166"/>
      <c r="AE56" s="166" t="s">
        <v>132</v>
      </c>
      <c r="AF56" s="166"/>
      <c r="AG56" s="167"/>
      <c r="AH56" s="167"/>
    </row>
    <row r="57" spans="1:34" ht="15" customHeight="1">
      <c r="A57" s="166">
        <v>52</v>
      </c>
      <c r="B57" s="207" t="s">
        <v>196</v>
      </c>
      <c r="C57" s="173">
        <v>8.1999999999999993</v>
      </c>
      <c r="D57" s="209" t="s">
        <v>130</v>
      </c>
      <c r="E57" s="209" t="s">
        <v>130</v>
      </c>
      <c r="F57" s="208" t="s">
        <v>135</v>
      </c>
      <c r="G57" s="174" t="s">
        <v>85</v>
      </c>
      <c r="H57" s="179"/>
      <c r="I57" s="179"/>
      <c r="J57" s="178"/>
      <c r="K57" s="178"/>
      <c r="L57" s="172" t="s">
        <v>84</v>
      </c>
      <c r="M57" s="178"/>
      <c r="N57" s="178"/>
      <c r="O57" s="174" t="s">
        <v>85</v>
      </c>
      <c r="P57" s="177"/>
      <c r="Q57" s="174" t="s">
        <v>85</v>
      </c>
      <c r="R57" s="177"/>
      <c r="S57" s="174" t="s">
        <v>85</v>
      </c>
      <c r="T57" s="164" t="s">
        <v>85</v>
      </c>
      <c r="U57" s="164" t="s">
        <v>85</v>
      </c>
      <c r="V57" s="168"/>
      <c r="W57" s="166" t="s">
        <v>132</v>
      </c>
      <c r="X57" s="166" t="s">
        <v>132</v>
      </c>
      <c r="Y57" s="166"/>
      <c r="Z57" s="166" t="s">
        <v>132</v>
      </c>
      <c r="AA57" s="166"/>
      <c r="AB57" s="166"/>
      <c r="AC57" s="166"/>
      <c r="AD57" s="166"/>
      <c r="AE57" s="166"/>
      <c r="AF57" s="166"/>
      <c r="AG57" s="167"/>
      <c r="AH57" s="167"/>
    </row>
    <row r="58" spans="1:34" ht="15" customHeight="1">
      <c r="A58" s="166">
        <v>53</v>
      </c>
      <c r="B58" s="207" t="s">
        <v>197</v>
      </c>
      <c r="C58" s="173">
        <v>8</v>
      </c>
      <c r="D58" s="209" t="s">
        <v>139</v>
      </c>
      <c r="E58" s="209" t="s">
        <v>139</v>
      </c>
      <c r="F58" s="208" t="s">
        <v>135</v>
      </c>
      <c r="G58" s="179"/>
      <c r="H58" s="179"/>
      <c r="I58" s="179"/>
      <c r="J58" s="178"/>
      <c r="K58" s="178"/>
      <c r="L58" s="178"/>
      <c r="M58" s="178"/>
      <c r="N58" s="178"/>
      <c r="O58" s="174" t="s">
        <v>85</v>
      </c>
      <c r="P58" s="172" t="s">
        <v>84</v>
      </c>
      <c r="Q58" s="177"/>
      <c r="R58" s="177"/>
      <c r="S58" s="189"/>
      <c r="T58" s="168"/>
      <c r="U58" s="168"/>
      <c r="V58" s="168"/>
      <c r="W58" s="166"/>
      <c r="X58" s="166"/>
      <c r="Y58" s="166"/>
      <c r="Z58" s="166" t="s">
        <v>132</v>
      </c>
      <c r="AA58" s="166"/>
      <c r="AB58" s="166"/>
      <c r="AC58" s="166" t="s">
        <v>132</v>
      </c>
      <c r="AD58" s="166"/>
      <c r="AE58" s="166" t="s">
        <v>132</v>
      </c>
      <c r="AF58" s="166" t="s">
        <v>132</v>
      </c>
      <c r="AG58" s="167"/>
      <c r="AH58" s="167"/>
    </row>
    <row r="59" spans="1:34" ht="15" customHeight="1">
      <c r="A59" s="166">
        <v>54</v>
      </c>
      <c r="B59" s="207" t="s">
        <v>198</v>
      </c>
      <c r="C59" s="173">
        <v>8</v>
      </c>
      <c r="D59" s="209" t="s">
        <v>139</v>
      </c>
      <c r="E59" s="209" t="s">
        <v>139</v>
      </c>
      <c r="F59" s="208" t="s">
        <v>135</v>
      </c>
      <c r="G59" s="179"/>
      <c r="H59" s="179"/>
      <c r="I59" s="172" t="s">
        <v>84</v>
      </c>
      <c r="J59" s="178"/>
      <c r="K59" s="178"/>
      <c r="L59" s="178"/>
      <c r="M59" s="178"/>
      <c r="N59" s="178"/>
      <c r="O59" s="178"/>
      <c r="P59" s="177"/>
      <c r="Q59" s="177"/>
      <c r="R59" s="172" t="s">
        <v>84</v>
      </c>
      <c r="S59" s="189"/>
      <c r="T59" s="168"/>
      <c r="U59" s="168"/>
      <c r="V59" s="168"/>
      <c r="W59" s="166"/>
      <c r="X59" s="166"/>
      <c r="Y59" s="166"/>
      <c r="Z59" s="166" t="s">
        <v>132</v>
      </c>
      <c r="AA59" s="166"/>
      <c r="AB59" s="166"/>
      <c r="AC59" s="166"/>
      <c r="AD59" s="166"/>
      <c r="AE59" s="166"/>
      <c r="AF59" s="166"/>
      <c r="AG59" s="167"/>
      <c r="AH59" s="167"/>
    </row>
    <row r="60" spans="1:34" ht="15" customHeight="1">
      <c r="A60" s="166">
        <v>55</v>
      </c>
      <c r="B60" s="207" t="s">
        <v>199</v>
      </c>
      <c r="C60" s="173">
        <v>8</v>
      </c>
      <c r="D60" s="209" t="s">
        <v>139</v>
      </c>
      <c r="E60" s="209" t="s">
        <v>145</v>
      </c>
      <c r="F60" s="208" t="s">
        <v>135</v>
      </c>
      <c r="G60" s="179"/>
      <c r="H60" s="174" t="s">
        <v>85</v>
      </c>
      <c r="I60" s="179"/>
      <c r="J60" s="178"/>
      <c r="K60" s="178"/>
      <c r="L60" s="178"/>
      <c r="M60" s="178"/>
      <c r="N60" s="178"/>
      <c r="O60" s="211" t="s">
        <v>83</v>
      </c>
      <c r="P60" s="177"/>
      <c r="Q60" s="177"/>
      <c r="R60" s="177"/>
      <c r="S60" s="189"/>
      <c r="T60" s="168"/>
      <c r="U60" s="168"/>
      <c r="V60" s="168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7"/>
      <c r="AH60" s="167"/>
    </row>
    <row r="61" spans="1:34" ht="15" customHeight="1">
      <c r="A61" s="166">
        <v>56</v>
      </c>
      <c r="B61" s="207" t="s">
        <v>200</v>
      </c>
      <c r="C61" s="173">
        <v>7.1</v>
      </c>
      <c r="D61" s="210" t="s">
        <v>134</v>
      </c>
      <c r="E61" s="210" t="s">
        <v>134</v>
      </c>
      <c r="F61" s="208" t="s">
        <v>135</v>
      </c>
      <c r="G61" s="179"/>
      <c r="H61" s="211" t="s">
        <v>83</v>
      </c>
      <c r="I61" s="179"/>
      <c r="J61" s="178"/>
      <c r="K61" s="178"/>
      <c r="L61" s="178"/>
      <c r="M61" s="178"/>
      <c r="N61" s="178"/>
      <c r="O61" s="178"/>
      <c r="P61" s="174" t="s">
        <v>85</v>
      </c>
      <c r="Q61" s="177"/>
      <c r="R61" s="174" t="s">
        <v>85</v>
      </c>
      <c r="S61" s="189"/>
      <c r="T61" s="168"/>
      <c r="U61" s="168"/>
      <c r="V61" s="168"/>
      <c r="W61" s="166"/>
      <c r="X61" s="166" t="s">
        <v>132</v>
      </c>
      <c r="Y61" s="166"/>
      <c r="Z61" s="166"/>
      <c r="AA61" s="166"/>
      <c r="AB61" s="166"/>
      <c r="AC61" s="166" t="s">
        <v>132</v>
      </c>
      <c r="AD61" s="166" t="s">
        <v>132</v>
      </c>
      <c r="AE61" s="166" t="s">
        <v>132</v>
      </c>
      <c r="AF61" s="166"/>
      <c r="AG61" s="167"/>
      <c r="AH61" s="167"/>
    </row>
    <row r="62" spans="1:34" ht="15" customHeight="1">
      <c r="A62" s="166">
        <v>57</v>
      </c>
      <c r="B62" s="207" t="s">
        <v>201</v>
      </c>
      <c r="C62" s="173">
        <v>7</v>
      </c>
      <c r="D62" s="210" t="s">
        <v>142</v>
      </c>
      <c r="E62" s="210" t="s">
        <v>142</v>
      </c>
      <c r="F62" s="208" t="s">
        <v>135</v>
      </c>
      <c r="G62" s="179"/>
      <c r="H62" s="172" t="s">
        <v>84</v>
      </c>
      <c r="I62" s="179"/>
      <c r="J62" s="178"/>
      <c r="K62" s="178"/>
      <c r="L62" s="178"/>
      <c r="M62" s="178"/>
      <c r="N62" s="178"/>
      <c r="O62" s="211" t="s">
        <v>83</v>
      </c>
      <c r="P62" s="177"/>
      <c r="Q62" s="177"/>
      <c r="R62" s="172" t="s">
        <v>84</v>
      </c>
      <c r="S62" s="189"/>
      <c r="T62" s="168"/>
      <c r="U62" s="168"/>
      <c r="V62" s="168"/>
      <c r="W62" s="166"/>
      <c r="X62" s="166"/>
      <c r="Y62" s="166"/>
      <c r="Z62" s="166" t="s">
        <v>132</v>
      </c>
      <c r="AA62" s="166"/>
      <c r="AB62" s="166"/>
      <c r="AC62" s="166" t="s">
        <v>132</v>
      </c>
      <c r="AD62" s="166"/>
      <c r="AE62" s="166"/>
      <c r="AF62" s="166"/>
      <c r="AG62" s="167"/>
      <c r="AH62" s="167"/>
    </row>
    <row r="63" spans="1:34" ht="15" customHeight="1">
      <c r="A63" s="166">
        <v>58</v>
      </c>
      <c r="B63" s="207" t="s">
        <v>202</v>
      </c>
      <c r="C63" s="173">
        <v>8</v>
      </c>
      <c r="D63" s="209" t="s">
        <v>139</v>
      </c>
      <c r="E63" s="209" t="s">
        <v>139</v>
      </c>
      <c r="F63" s="208" t="s">
        <v>135</v>
      </c>
      <c r="G63" s="179"/>
      <c r="H63" s="179"/>
      <c r="I63" s="179"/>
      <c r="J63" s="178"/>
      <c r="K63" s="174" t="s">
        <v>85</v>
      </c>
      <c r="L63" s="174" t="s">
        <v>85</v>
      </c>
      <c r="M63" s="178"/>
      <c r="N63" s="172" t="s">
        <v>84</v>
      </c>
      <c r="O63" s="172" t="s">
        <v>84</v>
      </c>
      <c r="P63" s="177"/>
      <c r="Q63" s="177"/>
      <c r="R63" s="211" t="s">
        <v>83</v>
      </c>
      <c r="S63" s="189"/>
      <c r="T63" s="168"/>
      <c r="U63" s="168"/>
      <c r="V63" s="168"/>
      <c r="W63" s="166"/>
      <c r="X63" s="166"/>
      <c r="Y63" s="166"/>
      <c r="Z63" s="166" t="s">
        <v>132</v>
      </c>
      <c r="AA63" s="166"/>
      <c r="AB63" s="166"/>
      <c r="AC63" s="166" t="s">
        <v>132</v>
      </c>
      <c r="AD63" s="166"/>
      <c r="AE63" s="166"/>
      <c r="AF63" s="166"/>
      <c r="AG63" s="167"/>
      <c r="AH63" s="167"/>
    </row>
    <row r="64" spans="1:34" ht="15" customHeight="1">
      <c r="A64" s="166">
        <v>59</v>
      </c>
      <c r="B64" s="207" t="s">
        <v>203</v>
      </c>
      <c r="C64" s="173">
        <v>7</v>
      </c>
      <c r="D64" s="209" t="s">
        <v>139</v>
      </c>
      <c r="E64" s="209" t="s">
        <v>145</v>
      </c>
      <c r="F64" s="208" t="s">
        <v>135</v>
      </c>
      <c r="G64" s="179"/>
      <c r="H64" s="172" t="s">
        <v>84</v>
      </c>
      <c r="I64" s="179"/>
      <c r="J64" s="178"/>
      <c r="K64" s="172" t="s">
        <v>84</v>
      </c>
      <c r="L64" s="178"/>
      <c r="M64" s="178"/>
      <c r="N64" s="178"/>
      <c r="O64" s="211" t="s">
        <v>83</v>
      </c>
      <c r="P64" s="177"/>
      <c r="Q64" s="172" t="s">
        <v>84</v>
      </c>
      <c r="R64" s="174" t="s">
        <v>85</v>
      </c>
      <c r="S64" s="189"/>
      <c r="T64" s="168"/>
      <c r="U64" s="168"/>
      <c r="V64" s="166" t="s">
        <v>132</v>
      </c>
      <c r="W64" s="166"/>
      <c r="X64" s="166"/>
      <c r="Y64" s="166"/>
      <c r="Z64" s="166"/>
      <c r="AA64" s="166"/>
      <c r="AB64" s="166"/>
      <c r="AC64" s="166" t="s">
        <v>132</v>
      </c>
      <c r="AD64" s="166"/>
      <c r="AE64" s="166"/>
      <c r="AF64" s="166" t="s">
        <v>132</v>
      </c>
      <c r="AG64" s="167"/>
      <c r="AH64" s="167"/>
    </row>
    <row r="65" spans="1:34" ht="15" customHeight="1">
      <c r="A65" s="166">
        <v>60</v>
      </c>
      <c r="B65" s="207" t="s">
        <v>204</v>
      </c>
      <c r="C65" s="173">
        <v>8</v>
      </c>
      <c r="D65" s="209" t="s">
        <v>139</v>
      </c>
      <c r="E65" s="209" t="s">
        <v>139</v>
      </c>
      <c r="F65" s="208" t="s">
        <v>135</v>
      </c>
      <c r="G65" s="179"/>
      <c r="H65" s="174" t="s">
        <v>85</v>
      </c>
      <c r="I65" s="179"/>
      <c r="J65" s="178"/>
      <c r="K65" s="174" t="s">
        <v>85</v>
      </c>
      <c r="L65" s="178"/>
      <c r="M65" s="178"/>
      <c r="N65" s="178"/>
      <c r="O65" s="178"/>
      <c r="P65" s="174" t="s">
        <v>85</v>
      </c>
      <c r="Q65" s="174" t="s">
        <v>85</v>
      </c>
      <c r="R65" s="174" t="s">
        <v>85</v>
      </c>
      <c r="S65" s="189"/>
      <c r="T65" s="168"/>
      <c r="U65" s="168"/>
      <c r="V65" s="168"/>
      <c r="W65" s="166"/>
      <c r="X65" s="166"/>
      <c r="Y65" s="166" t="s">
        <v>132</v>
      </c>
      <c r="Z65" s="166" t="s">
        <v>132</v>
      </c>
      <c r="AA65" s="166"/>
      <c r="AB65" s="166"/>
      <c r="AC65" s="166" t="s">
        <v>132</v>
      </c>
      <c r="AD65" s="166"/>
      <c r="AE65" s="166" t="s">
        <v>132</v>
      </c>
      <c r="AF65" s="166" t="s">
        <v>132</v>
      </c>
      <c r="AG65" s="167"/>
      <c r="AH65" s="167"/>
    </row>
    <row r="66" spans="1:34" ht="15" customHeight="1">
      <c r="A66" s="166">
        <v>61</v>
      </c>
      <c r="B66" s="207" t="s">
        <v>205</v>
      </c>
      <c r="C66" s="173">
        <v>8.1</v>
      </c>
      <c r="D66" s="210" t="s">
        <v>142</v>
      </c>
      <c r="E66" s="210" t="s">
        <v>142</v>
      </c>
      <c r="F66" s="208" t="s">
        <v>135</v>
      </c>
      <c r="G66" s="179"/>
      <c r="H66" s="172" t="s">
        <v>84</v>
      </c>
      <c r="I66" s="211" t="s">
        <v>83</v>
      </c>
      <c r="J66" s="178"/>
      <c r="K66" s="178"/>
      <c r="L66" s="178"/>
      <c r="M66" s="178"/>
      <c r="N66" s="178"/>
      <c r="O66" s="211" t="s">
        <v>83</v>
      </c>
      <c r="P66" s="177"/>
      <c r="Q66" s="177"/>
      <c r="R66" s="211" t="s">
        <v>83</v>
      </c>
      <c r="S66" s="189"/>
      <c r="T66" s="168"/>
      <c r="U66" s="168"/>
      <c r="V66" s="168"/>
      <c r="W66" s="166" t="s">
        <v>132</v>
      </c>
      <c r="X66" s="166"/>
      <c r="Y66" s="166"/>
      <c r="Z66" s="166" t="s">
        <v>132</v>
      </c>
      <c r="AA66" s="166"/>
      <c r="AB66" s="166"/>
      <c r="AC66" s="166" t="s">
        <v>132</v>
      </c>
      <c r="AD66" s="166" t="s">
        <v>132</v>
      </c>
      <c r="AE66" s="166" t="s">
        <v>132</v>
      </c>
      <c r="AF66" s="166" t="s">
        <v>132</v>
      </c>
      <c r="AG66" s="167"/>
      <c r="AH66" s="167"/>
    </row>
    <row r="67" spans="1:34" ht="15" customHeight="1">
      <c r="A67" s="166">
        <v>62</v>
      </c>
      <c r="B67" s="207" t="s">
        <v>206</v>
      </c>
      <c r="C67" s="173">
        <v>8</v>
      </c>
      <c r="D67" s="210" t="s">
        <v>142</v>
      </c>
      <c r="E67" s="210" t="s">
        <v>142</v>
      </c>
      <c r="F67" s="208" t="s">
        <v>135</v>
      </c>
      <c r="G67" s="179"/>
      <c r="H67" s="174" t="s">
        <v>85</v>
      </c>
      <c r="I67" s="172" t="s">
        <v>84</v>
      </c>
      <c r="J67" s="178"/>
      <c r="K67" s="178"/>
      <c r="L67" s="178"/>
      <c r="M67" s="178"/>
      <c r="N67" s="178"/>
      <c r="O67" s="178"/>
      <c r="P67" s="177"/>
      <c r="Q67" s="211" t="s">
        <v>83</v>
      </c>
      <c r="R67" s="172" t="s">
        <v>84</v>
      </c>
      <c r="S67" s="189"/>
      <c r="T67" s="168"/>
      <c r="U67" s="168"/>
      <c r="V67" s="166" t="s">
        <v>132</v>
      </c>
      <c r="W67" s="166"/>
      <c r="X67" s="166"/>
      <c r="Y67" s="166"/>
      <c r="Z67" s="166" t="s">
        <v>132</v>
      </c>
      <c r="AA67" s="166"/>
      <c r="AB67" s="166"/>
      <c r="AC67" s="166" t="s">
        <v>132</v>
      </c>
      <c r="AD67" s="166" t="s">
        <v>132</v>
      </c>
      <c r="AE67" s="166"/>
      <c r="AF67" s="166"/>
      <c r="AG67" s="167"/>
      <c r="AH67" s="167"/>
    </row>
    <row r="68" spans="1:34" ht="15" customHeight="1">
      <c r="A68" s="166">
        <v>63</v>
      </c>
      <c r="B68" s="207" t="s">
        <v>207</v>
      </c>
      <c r="C68" s="173">
        <v>7</v>
      </c>
      <c r="D68" s="209" t="s">
        <v>139</v>
      </c>
      <c r="E68" s="209" t="s">
        <v>139</v>
      </c>
      <c r="F68" s="208" t="s">
        <v>135</v>
      </c>
      <c r="G68" s="179"/>
      <c r="H68" s="179"/>
      <c r="I68" s="179"/>
      <c r="J68" s="178"/>
      <c r="K68" s="178"/>
      <c r="L68" s="178"/>
      <c r="M68" s="178"/>
      <c r="N68" s="178"/>
      <c r="O68" s="178"/>
      <c r="P68" s="177"/>
      <c r="Q68" s="177"/>
      <c r="R68" s="174" t="s">
        <v>85</v>
      </c>
      <c r="S68" s="189"/>
      <c r="T68" s="168"/>
      <c r="U68" s="168"/>
      <c r="V68" s="168"/>
      <c r="W68" s="166"/>
      <c r="X68" s="166"/>
      <c r="Y68" s="166"/>
      <c r="Z68" s="166" t="s">
        <v>132</v>
      </c>
      <c r="AA68" s="166"/>
      <c r="AB68" s="166"/>
      <c r="AC68" s="166"/>
      <c r="AD68" s="166"/>
      <c r="AE68" s="166"/>
      <c r="AF68" s="166"/>
      <c r="AG68" s="167"/>
      <c r="AH68" s="167"/>
    </row>
    <row r="69" spans="1:34" ht="15" customHeight="1">
      <c r="A69" s="166">
        <v>64</v>
      </c>
      <c r="B69" s="207" t="s">
        <v>208</v>
      </c>
      <c r="C69" s="173">
        <v>7</v>
      </c>
      <c r="D69" s="210" t="s">
        <v>142</v>
      </c>
      <c r="E69" s="210" t="s">
        <v>142</v>
      </c>
      <c r="F69" s="208" t="s">
        <v>135</v>
      </c>
      <c r="G69" s="179"/>
      <c r="H69" s="172" t="s">
        <v>84</v>
      </c>
      <c r="I69" s="174" t="s">
        <v>85</v>
      </c>
      <c r="J69" s="178"/>
      <c r="K69" s="172" t="s">
        <v>84</v>
      </c>
      <c r="L69" s="178"/>
      <c r="M69" s="178"/>
      <c r="N69" s="178"/>
      <c r="O69" s="178"/>
      <c r="P69" s="177"/>
      <c r="Q69" s="172" t="s">
        <v>84</v>
      </c>
      <c r="R69" s="174" t="s">
        <v>85</v>
      </c>
      <c r="S69" s="189"/>
      <c r="T69" s="168"/>
      <c r="U69" s="168"/>
      <c r="V69" s="166" t="s">
        <v>132</v>
      </c>
      <c r="W69" s="166"/>
      <c r="X69" s="166"/>
      <c r="Y69" s="166"/>
      <c r="Z69" s="166" t="s">
        <v>132</v>
      </c>
      <c r="AA69" s="166"/>
      <c r="AB69" s="166"/>
      <c r="AC69" s="166"/>
      <c r="AD69" s="166"/>
      <c r="AE69" s="166"/>
      <c r="AF69" s="166"/>
      <c r="AG69" s="167"/>
      <c r="AH69" s="167"/>
    </row>
    <row r="70" spans="1:34" ht="15" customHeight="1">
      <c r="A70" s="166">
        <v>65</v>
      </c>
      <c r="B70" s="207" t="s">
        <v>209</v>
      </c>
      <c r="C70" s="173">
        <v>7</v>
      </c>
      <c r="D70" s="210" t="s">
        <v>145</v>
      </c>
      <c r="E70" s="209" t="s">
        <v>145</v>
      </c>
      <c r="F70" s="173" t="s">
        <v>147</v>
      </c>
      <c r="G70" s="172" t="s">
        <v>84</v>
      </c>
      <c r="H70" s="179"/>
      <c r="I70" s="179"/>
      <c r="J70" s="178"/>
      <c r="K70" s="178"/>
      <c r="L70" s="178"/>
      <c r="M70" s="178"/>
      <c r="N70" s="178"/>
      <c r="O70" s="211" t="s">
        <v>83</v>
      </c>
      <c r="P70" s="177"/>
      <c r="Q70" s="211" t="s">
        <v>83</v>
      </c>
      <c r="R70" s="172" t="s">
        <v>84</v>
      </c>
      <c r="S70" s="211" t="s">
        <v>83</v>
      </c>
      <c r="T70" s="168"/>
      <c r="U70" s="168"/>
      <c r="V70" s="168"/>
      <c r="W70" s="166"/>
      <c r="X70" s="166"/>
      <c r="Y70" s="166"/>
      <c r="Z70" s="166"/>
      <c r="AA70" s="166"/>
      <c r="AB70" s="166"/>
      <c r="AC70" s="166" t="s">
        <v>132</v>
      </c>
      <c r="AD70" s="166"/>
      <c r="AE70" s="166"/>
      <c r="AF70" s="166"/>
      <c r="AG70" s="167"/>
      <c r="AH70" s="167"/>
    </row>
    <row r="71" spans="1:34" ht="15" customHeight="1">
      <c r="A71" s="166">
        <v>66</v>
      </c>
      <c r="B71" s="207" t="s">
        <v>210</v>
      </c>
      <c r="C71" s="173">
        <v>8.1</v>
      </c>
      <c r="D71" s="210" t="s">
        <v>142</v>
      </c>
      <c r="E71" s="210" t="s">
        <v>142</v>
      </c>
      <c r="F71" s="173" t="s">
        <v>211</v>
      </c>
      <c r="G71" s="179"/>
      <c r="H71" s="179"/>
      <c r="I71" s="179"/>
      <c r="J71" s="178"/>
      <c r="K71" s="178"/>
      <c r="L71" s="178"/>
      <c r="M71" s="178"/>
      <c r="N71" s="178"/>
      <c r="O71" s="178"/>
      <c r="P71" s="177"/>
      <c r="Q71" s="177"/>
      <c r="R71" s="177"/>
      <c r="S71" s="189"/>
      <c r="T71" s="168"/>
      <c r="U71" s="168"/>
      <c r="V71" s="168"/>
      <c r="W71" s="166"/>
      <c r="X71" s="166"/>
      <c r="Y71" s="166"/>
      <c r="Z71" s="166" t="s">
        <v>132</v>
      </c>
      <c r="AA71" s="166"/>
      <c r="AB71" s="166"/>
      <c r="AC71" s="166" t="s">
        <v>132</v>
      </c>
      <c r="AD71" s="166"/>
      <c r="AE71" s="166"/>
      <c r="AF71" s="166"/>
      <c r="AG71" s="167"/>
      <c r="AH71" s="167"/>
    </row>
    <row r="72" spans="1:34" ht="15" customHeight="1">
      <c r="A72" s="166">
        <v>67</v>
      </c>
      <c r="B72" s="207" t="s">
        <v>212</v>
      </c>
      <c r="C72" s="173">
        <v>7</v>
      </c>
      <c r="D72" s="210" t="s">
        <v>142</v>
      </c>
      <c r="E72" s="209" t="s">
        <v>145</v>
      </c>
      <c r="F72" s="208" t="s">
        <v>135</v>
      </c>
      <c r="G72" s="179"/>
      <c r="H72" s="174" t="s">
        <v>85</v>
      </c>
      <c r="I72" s="179"/>
      <c r="J72" s="178"/>
      <c r="K72" s="178"/>
      <c r="L72" s="178"/>
      <c r="M72" s="178"/>
      <c r="N72" s="178"/>
      <c r="O72" s="178"/>
      <c r="P72" s="172" t="s">
        <v>84</v>
      </c>
      <c r="Q72" s="177"/>
      <c r="R72" s="174" t="s">
        <v>85</v>
      </c>
      <c r="S72" s="189"/>
      <c r="T72" s="168"/>
      <c r="U72" s="168"/>
      <c r="V72" s="168"/>
      <c r="W72" s="166"/>
      <c r="X72" s="166"/>
      <c r="Y72" s="166"/>
      <c r="Z72" s="166" t="s">
        <v>132</v>
      </c>
      <c r="AA72" s="166"/>
      <c r="AB72" s="166"/>
      <c r="AC72" s="166" t="s">
        <v>132</v>
      </c>
      <c r="AD72" s="166"/>
      <c r="AE72" s="166"/>
      <c r="AF72" s="166"/>
      <c r="AG72" s="167"/>
      <c r="AH72" s="167"/>
    </row>
    <row r="73" spans="1:34" ht="15" customHeight="1">
      <c r="A73" s="166">
        <v>68</v>
      </c>
      <c r="B73" s="207" t="s">
        <v>213</v>
      </c>
      <c r="C73" s="173">
        <v>8.1</v>
      </c>
      <c r="D73" s="209" t="s">
        <v>139</v>
      </c>
      <c r="E73" s="209" t="s">
        <v>139</v>
      </c>
      <c r="F73" s="208" t="s">
        <v>135</v>
      </c>
      <c r="G73" s="179"/>
      <c r="H73" s="172" t="s">
        <v>84</v>
      </c>
      <c r="I73" s="174" t="s">
        <v>85</v>
      </c>
      <c r="J73" s="178"/>
      <c r="K73" s="172" t="s">
        <v>84</v>
      </c>
      <c r="L73" s="178"/>
      <c r="M73" s="178"/>
      <c r="N73" s="178"/>
      <c r="O73" s="178"/>
      <c r="P73" s="172" t="s">
        <v>84</v>
      </c>
      <c r="Q73" s="177"/>
      <c r="R73" s="172" t="s">
        <v>84</v>
      </c>
      <c r="S73" s="189"/>
      <c r="T73" s="168"/>
      <c r="U73" s="168"/>
      <c r="V73" s="166" t="s">
        <v>132</v>
      </c>
      <c r="W73" s="166" t="s">
        <v>132</v>
      </c>
      <c r="X73" s="166"/>
      <c r="Y73" s="166"/>
      <c r="Z73" s="166" t="s">
        <v>132</v>
      </c>
      <c r="AA73" s="166"/>
      <c r="AB73" s="166"/>
      <c r="AC73" s="166" t="s">
        <v>132</v>
      </c>
      <c r="AD73" s="166" t="s">
        <v>132</v>
      </c>
      <c r="AE73" s="166"/>
      <c r="AF73" s="166"/>
      <c r="AG73" s="167"/>
      <c r="AH73" s="167"/>
    </row>
    <row r="74" spans="1:34" ht="15" customHeight="1">
      <c r="A74" s="166">
        <v>69</v>
      </c>
      <c r="B74" s="207" t="s">
        <v>214</v>
      </c>
      <c r="C74" s="173">
        <v>8.1</v>
      </c>
      <c r="D74" s="210" t="s">
        <v>142</v>
      </c>
      <c r="E74" s="210" t="s">
        <v>142</v>
      </c>
      <c r="F74" s="208" t="s">
        <v>135</v>
      </c>
      <c r="G74" s="172" t="s">
        <v>84</v>
      </c>
      <c r="H74" s="172" t="s">
        <v>84</v>
      </c>
      <c r="I74" s="179"/>
      <c r="J74" s="178"/>
      <c r="K74" s="178"/>
      <c r="L74" s="178"/>
      <c r="M74" s="178"/>
      <c r="N74" s="172" t="s">
        <v>84</v>
      </c>
      <c r="O74" s="178"/>
      <c r="P74" s="177"/>
      <c r="Q74" s="172" t="s">
        <v>84</v>
      </c>
      <c r="R74" s="172" t="s">
        <v>84</v>
      </c>
      <c r="S74" s="189"/>
      <c r="T74" s="168"/>
      <c r="U74" s="168"/>
      <c r="V74" s="168"/>
      <c r="W74" s="166"/>
      <c r="X74" s="166"/>
      <c r="Y74" s="166"/>
      <c r="Z74" s="166" t="s">
        <v>132</v>
      </c>
      <c r="AA74" s="166"/>
      <c r="AB74" s="166"/>
      <c r="AC74" s="166"/>
      <c r="AD74" s="166" t="s">
        <v>132</v>
      </c>
      <c r="AE74" s="166"/>
      <c r="AF74" s="166"/>
      <c r="AG74" s="167"/>
      <c r="AH74" s="167"/>
    </row>
    <row r="75" spans="1:34" ht="15" customHeight="1">
      <c r="A75" s="166">
        <v>70</v>
      </c>
      <c r="B75" s="207" t="s">
        <v>215</v>
      </c>
      <c r="C75" s="173">
        <v>8.1</v>
      </c>
      <c r="D75" s="210" t="s">
        <v>134</v>
      </c>
      <c r="E75" s="210" t="s">
        <v>134</v>
      </c>
      <c r="F75" s="173" t="s">
        <v>147</v>
      </c>
      <c r="G75" s="179"/>
      <c r="H75" s="211" t="s">
        <v>83</v>
      </c>
      <c r="I75" s="179"/>
      <c r="J75" s="178"/>
      <c r="K75" s="211" t="s">
        <v>83</v>
      </c>
      <c r="L75" s="178"/>
      <c r="M75" s="178"/>
      <c r="N75" s="178"/>
      <c r="O75" s="178"/>
      <c r="P75" s="174" t="s">
        <v>85</v>
      </c>
      <c r="Q75" s="177"/>
      <c r="R75" s="211" t="s">
        <v>83</v>
      </c>
      <c r="S75" s="189"/>
      <c r="T75" s="168"/>
      <c r="U75" s="168"/>
      <c r="V75" s="168"/>
      <c r="W75" s="166"/>
      <c r="X75" s="166"/>
      <c r="Y75" s="166" t="s">
        <v>132</v>
      </c>
      <c r="Z75" s="166" t="s">
        <v>132</v>
      </c>
      <c r="AA75" s="166"/>
      <c r="AB75" s="166"/>
      <c r="AC75" s="166" t="s">
        <v>132</v>
      </c>
      <c r="AD75" s="166"/>
      <c r="AE75" s="166"/>
      <c r="AF75" s="166"/>
      <c r="AG75" s="167"/>
      <c r="AH75" s="167"/>
    </row>
    <row r="76" spans="1:34" ht="15" customHeight="1">
      <c r="A76" s="166">
        <v>71</v>
      </c>
      <c r="B76" s="207" t="s">
        <v>216</v>
      </c>
      <c r="C76" s="173">
        <v>7</v>
      </c>
      <c r="D76" s="210" t="s">
        <v>142</v>
      </c>
      <c r="E76" s="210" t="s">
        <v>142</v>
      </c>
      <c r="F76" s="208" t="s">
        <v>135</v>
      </c>
      <c r="G76" s="179"/>
      <c r="H76" s="172" t="s">
        <v>84</v>
      </c>
      <c r="I76" s="179"/>
      <c r="J76" s="178"/>
      <c r="K76" s="172" t="s">
        <v>84</v>
      </c>
      <c r="L76" s="172" t="s">
        <v>84</v>
      </c>
      <c r="M76" s="178"/>
      <c r="N76" s="178"/>
      <c r="O76" s="174" t="s">
        <v>85</v>
      </c>
      <c r="P76" s="177"/>
      <c r="Q76" s="177"/>
      <c r="R76" s="177"/>
      <c r="S76" s="189"/>
      <c r="T76" s="168"/>
      <c r="U76" s="168"/>
      <c r="V76" s="166" t="s">
        <v>132</v>
      </c>
      <c r="W76" s="166"/>
      <c r="X76" s="166"/>
      <c r="Y76" s="166" t="s">
        <v>132</v>
      </c>
      <c r="Z76" s="166" t="s">
        <v>132</v>
      </c>
      <c r="AA76" s="166"/>
      <c r="AB76" s="166"/>
      <c r="AC76" s="166" t="s">
        <v>132</v>
      </c>
      <c r="AD76" s="166" t="s">
        <v>132</v>
      </c>
      <c r="AE76" s="166"/>
      <c r="AF76" s="166" t="s">
        <v>132</v>
      </c>
      <c r="AG76" s="167"/>
      <c r="AH76" s="167"/>
    </row>
    <row r="77" spans="1:34" ht="15" customHeight="1">
      <c r="A77" s="166">
        <v>72</v>
      </c>
      <c r="B77" s="207" t="s">
        <v>217</v>
      </c>
      <c r="C77" s="173">
        <v>8.1</v>
      </c>
      <c r="D77" s="209" t="s">
        <v>130</v>
      </c>
      <c r="E77" s="210" t="s">
        <v>142</v>
      </c>
      <c r="F77" s="208" t="s">
        <v>135</v>
      </c>
      <c r="G77" s="179"/>
      <c r="H77" s="172" t="s">
        <v>84</v>
      </c>
      <c r="I77" s="179"/>
      <c r="J77" s="178"/>
      <c r="K77" s="178"/>
      <c r="L77" s="178"/>
      <c r="M77" s="178"/>
      <c r="N77" s="178"/>
      <c r="O77" s="178"/>
      <c r="P77" s="174" t="s">
        <v>85</v>
      </c>
      <c r="Q77" s="177"/>
      <c r="R77" s="177"/>
      <c r="S77" s="189"/>
      <c r="T77" s="168"/>
      <c r="U77" s="168"/>
      <c r="V77" s="168"/>
      <c r="W77" s="166"/>
      <c r="X77" s="166"/>
      <c r="Y77" s="166"/>
      <c r="Z77" s="166"/>
      <c r="AA77" s="166"/>
      <c r="AB77" s="166"/>
      <c r="AC77" s="166" t="s">
        <v>132</v>
      </c>
      <c r="AD77" s="166"/>
      <c r="AE77" s="166" t="s">
        <v>132</v>
      </c>
      <c r="AF77" s="166"/>
      <c r="AG77" s="167"/>
      <c r="AH77" s="167"/>
    </row>
    <row r="78" spans="1:34" ht="15" customHeight="1">
      <c r="A78" s="166">
        <v>73</v>
      </c>
      <c r="B78" s="207" t="s">
        <v>218</v>
      </c>
      <c r="C78" s="173">
        <v>7</v>
      </c>
      <c r="D78" s="210" t="s">
        <v>142</v>
      </c>
      <c r="E78" s="210" t="s">
        <v>142</v>
      </c>
      <c r="F78" s="208" t="s">
        <v>135</v>
      </c>
      <c r="G78" s="179"/>
      <c r="H78" s="179"/>
      <c r="I78" s="179"/>
      <c r="J78" s="178"/>
      <c r="K78" s="178"/>
      <c r="L78" s="178"/>
      <c r="M78" s="178"/>
      <c r="N78" s="178"/>
      <c r="O78" s="178"/>
      <c r="P78" s="174" t="s">
        <v>85</v>
      </c>
      <c r="Q78" s="177"/>
      <c r="R78" s="177"/>
      <c r="S78" s="189"/>
      <c r="T78" s="168"/>
      <c r="U78" s="168"/>
      <c r="V78" s="168"/>
      <c r="W78" s="166"/>
      <c r="X78" s="166"/>
      <c r="Y78" s="166"/>
      <c r="Z78" s="166" t="s">
        <v>132</v>
      </c>
      <c r="AA78" s="166"/>
      <c r="AB78" s="166"/>
      <c r="AC78" s="166" t="s">
        <v>132</v>
      </c>
      <c r="AD78" s="166"/>
      <c r="AE78" s="166" t="s">
        <v>132</v>
      </c>
      <c r="AF78" s="166"/>
      <c r="AG78" s="167"/>
      <c r="AH78" s="167"/>
    </row>
    <row r="79" spans="1:34" ht="15" customHeight="1">
      <c r="A79" s="166">
        <v>74</v>
      </c>
      <c r="B79" s="207" t="s">
        <v>219</v>
      </c>
      <c r="C79" s="173">
        <v>8</v>
      </c>
      <c r="D79" s="210" t="s">
        <v>142</v>
      </c>
      <c r="E79" s="210" t="s">
        <v>142</v>
      </c>
      <c r="F79" s="208" t="s">
        <v>135</v>
      </c>
      <c r="G79" s="179"/>
      <c r="H79" s="179"/>
      <c r="I79" s="172" t="s">
        <v>84</v>
      </c>
      <c r="J79" s="178"/>
      <c r="K79" s="178"/>
      <c r="L79" s="178"/>
      <c r="M79" s="178"/>
      <c r="N79" s="178"/>
      <c r="O79" s="178"/>
      <c r="P79" s="177"/>
      <c r="Q79" s="177"/>
      <c r="R79" s="174" t="s">
        <v>85</v>
      </c>
      <c r="S79" s="189"/>
      <c r="T79" s="168"/>
      <c r="U79" s="168"/>
      <c r="V79" s="168"/>
      <c r="W79" s="166"/>
      <c r="X79" s="166"/>
      <c r="Y79" s="166"/>
      <c r="Z79" s="166" t="s">
        <v>132</v>
      </c>
      <c r="AA79" s="166"/>
      <c r="AB79" s="166"/>
      <c r="AC79" s="166"/>
      <c r="AD79" s="166"/>
      <c r="AE79" s="166"/>
      <c r="AF79" s="166"/>
      <c r="AG79" s="167"/>
      <c r="AH79" s="167"/>
    </row>
    <row r="80" spans="1:34" ht="15" customHeight="1">
      <c r="A80" s="166">
        <v>75</v>
      </c>
      <c r="B80" s="207" t="s">
        <v>220</v>
      </c>
      <c r="C80" s="173">
        <v>8.1</v>
      </c>
      <c r="D80" s="209" t="s">
        <v>139</v>
      </c>
      <c r="E80" s="209" t="s">
        <v>139</v>
      </c>
      <c r="F80" s="208" t="s">
        <v>135</v>
      </c>
      <c r="G80" s="179"/>
      <c r="H80" s="172" t="s">
        <v>84</v>
      </c>
      <c r="I80" s="179"/>
      <c r="J80" s="178"/>
      <c r="K80" s="174" t="s">
        <v>85</v>
      </c>
      <c r="L80" s="178"/>
      <c r="M80" s="178"/>
      <c r="N80" s="178"/>
      <c r="O80" s="178"/>
      <c r="P80" s="177"/>
      <c r="Q80" s="177"/>
      <c r="R80" s="211" t="s">
        <v>83</v>
      </c>
      <c r="S80" s="189"/>
      <c r="T80" s="168"/>
      <c r="U80" s="168"/>
      <c r="V80" s="168"/>
      <c r="W80" s="166"/>
      <c r="X80" s="166"/>
      <c r="Y80" s="166"/>
      <c r="Z80" s="166" t="s">
        <v>132</v>
      </c>
      <c r="AA80" s="166"/>
      <c r="AB80" s="166"/>
      <c r="AC80" s="166" t="s">
        <v>132</v>
      </c>
      <c r="AD80" s="166"/>
      <c r="AE80" s="166"/>
      <c r="AF80" s="166"/>
      <c r="AG80" s="167"/>
      <c r="AH80" s="167"/>
    </row>
    <row r="81" spans="1:34" ht="15" customHeight="1">
      <c r="A81" s="166">
        <v>76</v>
      </c>
      <c r="B81" s="207" t="s">
        <v>221</v>
      </c>
      <c r="C81" s="173">
        <v>8.1</v>
      </c>
      <c r="D81" s="210" t="s">
        <v>142</v>
      </c>
      <c r="E81" s="210" t="s">
        <v>142</v>
      </c>
      <c r="F81" s="208" t="s">
        <v>135</v>
      </c>
      <c r="G81" s="179"/>
      <c r="H81" s="179"/>
      <c r="I81" s="172" t="s">
        <v>84</v>
      </c>
      <c r="J81" s="178"/>
      <c r="K81" s="178"/>
      <c r="L81" s="178"/>
      <c r="M81" s="178"/>
      <c r="N81" s="178"/>
      <c r="O81" s="211" t="s">
        <v>83</v>
      </c>
      <c r="P81" s="174" t="s">
        <v>85</v>
      </c>
      <c r="Q81" s="177"/>
      <c r="R81" s="177"/>
      <c r="S81" s="189"/>
      <c r="T81" s="168"/>
      <c r="U81" s="168"/>
      <c r="V81" s="168"/>
      <c r="W81" s="166"/>
      <c r="X81" s="166"/>
      <c r="Y81" s="166"/>
      <c r="Z81" s="166" t="s">
        <v>132</v>
      </c>
      <c r="AA81" s="166"/>
      <c r="AB81" s="166"/>
      <c r="AC81" s="166" t="s">
        <v>132</v>
      </c>
      <c r="AD81" s="166" t="s">
        <v>132</v>
      </c>
      <c r="AE81" s="166"/>
      <c r="AF81" s="166" t="s">
        <v>132</v>
      </c>
      <c r="AG81" s="167"/>
      <c r="AH81" s="167"/>
    </row>
    <row r="82" spans="1:34" ht="15" customHeight="1">
      <c r="A82" s="166">
        <v>77</v>
      </c>
      <c r="B82" s="207" t="s">
        <v>222</v>
      </c>
      <c r="C82" s="173">
        <v>8.1</v>
      </c>
      <c r="D82" s="210" t="s">
        <v>142</v>
      </c>
      <c r="E82" s="210" t="s">
        <v>142</v>
      </c>
      <c r="F82" s="173" t="s">
        <v>211</v>
      </c>
      <c r="G82" s="179"/>
      <c r="H82" s="179"/>
      <c r="I82" s="172" t="s">
        <v>84</v>
      </c>
      <c r="J82" s="178"/>
      <c r="K82" s="174" t="s">
        <v>85</v>
      </c>
      <c r="L82" s="174" t="s">
        <v>85</v>
      </c>
      <c r="M82" s="178"/>
      <c r="N82" s="178"/>
      <c r="O82" s="178"/>
      <c r="P82" s="177"/>
      <c r="Q82" s="177"/>
      <c r="R82" s="174" t="s">
        <v>85</v>
      </c>
      <c r="S82" s="189"/>
      <c r="T82" s="168"/>
      <c r="U82" s="168"/>
      <c r="V82" s="166" t="s">
        <v>132</v>
      </c>
      <c r="W82" s="166"/>
      <c r="X82" s="166"/>
      <c r="Y82" s="166"/>
      <c r="Z82" s="166" t="s">
        <v>132</v>
      </c>
      <c r="AA82" s="166"/>
      <c r="AB82" s="166"/>
      <c r="AC82" s="166" t="s">
        <v>132</v>
      </c>
      <c r="AD82" s="166"/>
      <c r="AE82" s="166"/>
      <c r="AF82" s="166" t="s">
        <v>132</v>
      </c>
      <c r="AG82" s="167"/>
      <c r="AH82" s="167"/>
    </row>
    <row r="83" spans="1:34" ht="15" customHeight="1">
      <c r="A83" s="166">
        <v>78</v>
      </c>
      <c r="B83" s="207" t="s">
        <v>223</v>
      </c>
      <c r="C83" s="173">
        <v>8.1999999999999993</v>
      </c>
      <c r="D83" s="209" t="s">
        <v>139</v>
      </c>
      <c r="E83" s="209" t="s">
        <v>139</v>
      </c>
      <c r="F83" s="208" t="s">
        <v>135</v>
      </c>
      <c r="G83" s="179"/>
      <c r="H83" s="179"/>
      <c r="I83" s="179"/>
      <c r="J83" s="178"/>
      <c r="K83" s="178"/>
      <c r="L83" s="178"/>
      <c r="M83" s="178"/>
      <c r="N83" s="178"/>
      <c r="O83" s="178"/>
      <c r="P83" s="174" t="s">
        <v>85</v>
      </c>
      <c r="Q83" s="177"/>
      <c r="R83" s="172" t="s">
        <v>84</v>
      </c>
      <c r="S83" s="189"/>
      <c r="T83" s="168"/>
      <c r="U83" s="168"/>
      <c r="V83" s="166" t="s">
        <v>132</v>
      </c>
      <c r="W83" s="166" t="s">
        <v>132</v>
      </c>
      <c r="X83" s="166"/>
      <c r="Y83" s="166"/>
      <c r="Z83" s="166" t="s">
        <v>132</v>
      </c>
      <c r="AA83" s="166"/>
      <c r="AB83" s="166"/>
      <c r="AC83" s="166" t="s">
        <v>132</v>
      </c>
      <c r="AD83" s="166"/>
      <c r="AE83" s="166" t="s">
        <v>132</v>
      </c>
      <c r="AF83" s="166"/>
      <c r="AG83" s="167"/>
      <c r="AH83" s="167"/>
    </row>
    <row r="84" spans="1:34" ht="15" customHeight="1">
      <c r="A84" s="166">
        <v>79</v>
      </c>
      <c r="B84" s="207" t="s">
        <v>224</v>
      </c>
      <c r="C84" s="173">
        <v>8.1</v>
      </c>
      <c r="D84" s="210" t="s">
        <v>142</v>
      </c>
      <c r="E84" s="210" t="s">
        <v>142</v>
      </c>
      <c r="F84" s="208" t="s">
        <v>135</v>
      </c>
      <c r="G84" s="211" t="s">
        <v>83</v>
      </c>
      <c r="H84" s="179"/>
      <c r="I84" s="179"/>
      <c r="J84" s="178"/>
      <c r="K84" s="211" t="s">
        <v>83</v>
      </c>
      <c r="L84" s="178"/>
      <c r="M84" s="211" t="s">
        <v>83</v>
      </c>
      <c r="N84" s="178"/>
      <c r="O84" s="178"/>
      <c r="P84" s="177"/>
      <c r="Q84" s="177"/>
      <c r="R84" s="177"/>
      <c r="S84" s="189"/>
      <c r="T84" s="168"/>
      <c r="U84" s="168"/>
      <c r="V84" s="166" t="s">
        <v>132</v>
      </c>
      <c r="W84" s="166"/>
      <c r="X84" s="166"/>
      <c r="Y84" s="166"/>
      <c r="Z84" s="166"/>
      <c r="AA84" s="166"/>
      <c r="AB84" s="166"/>
      <c r="AC84" s="166" t="s">
        <v>132</v>
      </c>
      <c r="AD84" s="166" t="s">
        <v>132</v>
      </c>
      <c r="AE84" s="166"/>
      <c r="AF84" s="166" t="s">
        <v>132</v>
      </c>
      <c r="AG84" s="167"/>
      <c r="AH84" s="167"/>
    </row>
    <row r="85" spans="1:34" ht="15" customHeight="1">
      <c r="A85" s="166">
        <v>80</v>
      </c>
      <c r="B85" s="207" t="s">
        <v>225</v>
      </c>
      <c r="C85" s="173">
        <v>8.1</v>
      </c>
      <c r="D85" s="209" t="s">
        <v>139</v>
      </c>
      <c r="E85" s="210" t="s">
        <v>142</v>
      </c>
      <c r="F85" s="173" t="s">
        <v>147</v>
      </c>
      <c r="G85" s="179"/>
      <c r="H85" s="179"/>
      <c r="I85" s="179"/>
      <c r="J85" s="178"/>
      <c r="K85" s="178"/>
      <c r="L85" s="178"/>
      <c r="M85" s="178"/>
      <c r="N85" s="178"/>
      <c r="O85" s="172" t="s">
        <v>84</v>
      </c>
      <c r="P85" s="177"/>
      <c r="Q85" s="177"/>
      <c r="R85" s="177"/>
      <c r="S85" s="189"/>
      <c r="T85" s="168"/>
      <c r="U85" s="168"/>
      <c r="V85" s="168"/>
      <c r="W85" s="166" t="s">
        <v>132</v>
      </c>
      <c r="X85" s="166" t="s">
        <v>132</v>
      </c>
      <c r="Y85" s="166"/>
      <c r="Z85" s="166" t="s">
        <v>132</v>
      </c>
      <c r="AA85" s="166"/>
      <c r="AB85" s="166"/>
      <c r="AC85" s="166"/>
      <c r="AD85" s="166"/>
      <c r="AE85" s="166"/>
      <c r="AF85" s="166" t="s">
        <v>132</v>
      </c>
      <c r="AG85" s="167"/>
      <c r="AH85" s="167"/>
    </row>
    <row r="86" spans="1:34" ht="15" customHeight="1">
      <c r="A86" s="166">
        <v>81</v>
      </c>
      <c r="B86" s="207" t="s">
        <v>226</v>
      </c>
      <c r="C86" s="173">
        <v>8.1</v>
      </c>
      <c r="D86" s="209" t="s">
        <v>139</v>
      </c>
      <c r="E86" s="209" t="s">
        <v>139</v>
      </c>
      <c r="F86" s="173" t="s">
        <v>131</v>
      </c>
      <c r="G86" s="211" t="s">
        <v>83</v>
      </c>
      <c r="H86" s="174" t="s">
        <v>85</v>
      </c>
      <c r="I86" s="172" t="s">
        <v>84</v>
      </c>
      <c r="J86" s="172" t="s">
        <v>84</v>
      </c>
      <c r="K86" s="174" t="s">
        <v>85</v>
      </c>
      <c r="L86" s="174" t="s">
        <v>85</v>
      </c>
      <c r="M86" s="174" t="s">
        <v>85</v>
      </c>
      <c r="N86" s="174" t="s">
        <v>85</v>
      </c>
      <c r="O86" s="174" t="s">
        <v>85</v>
      </c>
      <c r="P86" s="174" t="s">
        <v>85</v>
      </c>
      <c r="Q86" s="174" t="s">
        <v>85</v>
      </c>
      <c r="R86" s="174" t="s">
        <v>85</v>
      </c>
      <c r="S86" s="174" t="s">
        <v>85</v>
      </c>
      <c r="T86" s="164" t="s">
        <v>85</v>
      </c>
      <c r="U86" s="165" t="s">
        <v>84</v>
      </c>
      <c r="V86" s="166" t="s">
        <v>132</v>
      </c>
      <c r="W86" s="166" t="s">
        <v>132</v>
      </c>
      <c r="X86" s="166" t="s">
        <v>132</v>
      </c>
      <c r="Y86" s="166" t="s">
        <v>132</v>
      </c>
      <c r="Z86" s="166" t="s">
        <v>132</v>
      </c>
      <c r="AA86" s="166"/>
      <c r="AB86" s="166"/>
      <c r="AC86" s="166" t="s">
        <v>132</v>
      </c>
      <c r="AD86" s="166"/>
      <c r="AE86" s="166"/>
      <c r="AF86" s="166"/>
      <c r="AG86" s="167"/>
      <c r="AH86" s="167"/>
    </row>
    <row r="87" spans="1:34" ht="15" customHeight="1">
      <c r="A87" s="166">
        <v>82</v>
      </c>
      <c r="B87" s="207" t="s">
        <v>227</v>
      </c>
      <c r="C87" s="173">
        <v>8.1</v>
      </c>
      <c r="D87" s="209" t="s">
        <v>139</v>
      </c>
      <c r="E87" s="209" t="s">
        <v>139</v>
      </c>
      <c r="F87" s="208" t="s">
        <v>135</v>
      </c>
      <c r="G87" s="179"/>
      <c r="H87" s="174" t="s">
        <v>85</v>
      </c>
      <c r="I87" s="179"/>
      <c r="J87" s="178"/>
      <c r="K87" s="174" t="s">
        <v>85</v>
      </c>
      <c r="L87" s="174" t="s">
        <v>85</v>
      </c>
      <c r="M87" s="174" t="s">
        <v>85</v>
      </c>
      <c r="N87" s="174" t="s">
        <v>85</v>
      </c>
      <c r="O87" s="178"/>
      <c r="P87" s="177"/>
      <c r="Q87" s="174" t="s">
        <v>85</v>
      </c>
      <c r="R87" s="177"/>
      <c r="S87" s="189"/>
      <c r="T87" s="168"/>
      <c r="U87" s="168"/>
      <c r="V87" s="168"/>
      <c r="W87" s="166" t="s">
        <v>132</v>
      </c>
      <c r="X87" s="166"/>
      <c r="Y87" s="166" t="s">
        <v>132</v>
      </c>
      <c r="Z87" s="166" t="s">
        <v>132</v>
      </c>
      <c r="AA87" s="166"/>
      <c r="AB87" s="166"/>
      <c r="AC87" s="166" t="s">
        <v>132</v>
      </c>
      <c r="AD87" s="166" t="s">
        <v>132</v>
      </c>
      <c r="AE87" s="166" t="s">
        <v>132</v>
      </c>
      <c r="AF87" s="166" t="s">
        <v>132</v>
      </c>
      <c r="AG87" s="167"/>
      <c r="AH87" s="167"/>
    </row>
    <row r="88" spans="1:34" ht="15" customHeight="1">
      <c r="A88" s="166">
        <v>83</v>
      </c>
      <c r="B88" s="207" t="s">
        <v>228</v>
      </c>
      <c r="C88" s="173">
        <v>8.1</v>
      </c>
      <c r="D88" s="209" t="s">
        <v>139</v>
      </c>
      <c r="E88" s="210" t="s">
        <v>142</v>
      </c>
      <c r="F88" s="208" t="s">
        <v>135</v>
      </c>
      <c r="G88" s="211" t="s">
        <v>83</v>
      </c>
      <c r="H88" s="211" t="s">
        <v>83</v>
      </c>
      <c r="I88" s="179"/>
      <c r="J88" s="178"/>
      <c r="K88" s="211" t="s">
        <v>83</v>
      </c>
      <c r="L88" s="211" t="s">
        <v>83</v>
      </c>
      <c r="M88" s="211" t="s">
        <v>83</v>
      </c>
      <c r="N88" s="178"/>
      <c r="O88" s="178"/>
      <c r="P88" s="172" t="s">
        <v>84</v>
      </c>
      <c r="Q88" s="172" t="s">
        <v>84</v>
      </c>
      <c r="R88" s="211" t="s">
        <v>83</v>
      </c>
      <c r="S88" s="189"/>
      <c r="T88" s="168"/>
      <c r="U88" s="168"/>
      <c r="V88" s="168"/>
      <c r="W88" s="166"/>
      <c r="X88" s="166"/>
      <c r="Y88" s="166" t="s">
        <v>132</v>
      </c>
      <c r="Z88" s="166" t="s">
        <v>132</v>
      </c>
      <c r="AA88" s="166"/>
      <c r="AB88" s="166"/>
      <c r="AC88" s="166" t="s">
        <v>132</v>
      </c>
      <c r="AD88" s="166" t="s">
        <v>132</v>
      </c>
      <c r="AE88" s="166"/>
      <c r="AF88" s="166" t="s">
        <v>132</v>
      </c>
      <c r="AG88" s="167"/>
      <c r="AH88" s="167"/>
    </row>
    <row r="89" spans="1:34" ht="15" customHeight="1">
      <c r="A89" s="166">
        <v>84</v>
      </c>
      <c r="B89" s="207" t="s">
        <v>229</v>
      </c>
      <c r="C89" s="173">
        <v>8.1</v>
      </c>
      <c r="D89" s="210" t="s">
        <v>142</v>
      </c>
      <c r="E89" s="210" t="s">
        <v>142</v>
      </c>
      <c r="F89" s="208" t="s">
        <v>135</v>
      </c>
      <c r="G89" s="179"/>
      <c r="H89" s="211" t="s">
        <v>83</v>
      </c>
      <c r="I89" s="179"/>
      <c r="J89" s="178"/>
      <c r="K89" s="178"/>
      <c r="L89" s="178"/>
      <c r="M89" s="178"/>
      <c r="N89" s="178"/>
      <c r="O89" s="178"/>
      <c r="P89" s="172" t="s">
        <v>84</v>
      </c>
      <c r="Q89" s="177"/>
      <c r="R89" s="177"/>
      <c r="S89" s="189"/>
      <c r="T89" s="168"/>
      <c r="U89" s="168"/>
      <c r="V89" s="168"/>
      <c r="W89" s="166" t="s">
        <v>132</v>
      </c>
      <c r="X89" s="166"/>
      <c r="Y89" s="166"/>
      <c r="Z89" s="166" t="s">
        <v>132</v>
      </c>
      <c r="AA89" s="166"/>
      <c r="AB89" s="166"/>
      <c r="AC89" s="166" t="s">
        <v>132</v>
      </c>
      <c r="AD89" s="166" t="s">
        <v>132</v>
      </c>
      <c r="AE89" s="166" t="s">
        <v>132</v>
      </c>
      <c r="AF89" s="166" t="s">
        <v>132</v>
      </c>
      <c r="AG89" s="167"/>
      <c r="AH89" s="167"/>
    </row>
    <row r="90" spans="1:34" ht="15" customHeight="1">
      <c r="A90" s="166">
        <v>85</v>
      </c>
      <c r="B90" s="207" t="s">
        <v>230</v>
      </c>
      <c r="C90" s="173">
        <v>8.1</v>
      </c>
      <c r="D90" s="209" t="s">
        <v>139</v>
      </c>
      <c r="E90" s="209" t="s">
        <v>139</v>
      </c>
      <c r="F90" s="208" t="s">
        <v>135</v>
      </c>
      <c r="G90" s="172" t="s">
        <v>84</v>
      </c>
      <c r="H90" s="174" t="s">
        <v>85</v>
      </c>
      <c r="I90" s="211" t="s">
        <v>83</v>
      </c>
      <c r="J90" s="178"/>
      <c r="K90" s="174" t="s">
        <v>85</v>
      </c>
      <c r="L90" s="211" t="s">
        <v>83</v>
      </c>
      <c r="M90" s="178"/>
      <c r="N90" s="174" t="s">
        <v>85</v>
      </c>
      <c r="O90" s="174" t="s">
        <v>85</v>
      </c>
      <c r="P90" s="174" t="s">
        <v>85</v>
      </c>
      <c r="Q90" s="211" t="s">
        <v>83</v>
      </c>
      <c r="R90" s="174" t="s">
        <v>85</v>
      </c>
      <c r="S90" s="211" t="s">
        <v>83</v>
      </c>
      <c r="T90" s="212" t="s">
        <v>83</v>
      </c>
      <c r="U90" s="168"/>
      <c r="V90" s="166" t="s">
        <v>132</v>
      </c>
      <c r="W90" s="166"/>
      <c r="X90" s="166"/>
      <c r="Y90" s="166"/>
      <c r="Z90" s="166" t="s">
        <v>132</v>
      </c>
      <c r="AA90" s="166"/>
      <c r="AB90" s="166"/>
      <c r="AC90" s="166" t="s">
        <v>132</v>
      </c>
      <c r="AD90" s="166"/>
      <c r="AE90" s="166"/>
      <c r="AF90" s="166"/>
      <c r="AG90" s="167"/>
      <c r="AH90" s="167"/>
    </row>
    <row r="91" spans="1:34" ht="15" customHeight="1">
      <c r="A91" s="166">
        <v>86</v>
      </c>
      <c r="B91" s="207" t="s">
        <v>231</v>
      </c>
      <c r="C91" s="173">
        <v>8.1</v>
      </c>
      <c r="D91" s="210" t="s">
        <v>142</v>
      </c>
      <c r="E91" s="210" t="s">
        <v>142</v>
      </c>
      <c r="F91" s="208" t="s">
        <v>135</v>
      </c>
      <c r="G91" s="172" t="s">
        <v>84</v>
      </c>
      <c r="H91" s="211" t="s">
        <v>83</v>
      </c>
      <c r="I91" s="211" t="s">
        <v>83</v>
      </c>
      <c r="J91" s="178"/>
      <c r="K91" s="178"/>
      <c r="L91" s="178"/>
      <c r="M91" s="178"/>
      <c r="N91" s="211" t="s">
        <v>83</v>
      </c>
      <c r="O91" s="172" t="s">
        <v>84</v>
      </c>
      <c r="P91" s="211" t="s">
        <v>83</v>
      </c>
      <c r="Q91" s="211" t="s">
        <v>83</v>
      </c>
      <c r="R91" s="177"/>
      <c r="S91" s="189"/>
      <c r="T91" s="168"/>
      <c r="U91" s="168"/>
      <c r="V91" s="168"/>
      <c r="W91" s="166" t="s">
        <v>132</v>
      </c>
      <c r="X91" s="166"/>
      <c r="Y91" s="166"/>
      <c r="Z91" s="166" t="s">
        <v>132</v>
      </c>
      <c r="AA91" s="166"/>
      <c r="AB91" s="166"/>
      <c r="AC91" s="166" t="s">
        <v>132</v>
      </c>
      <c r="AD91" s="166"/>
      <c r="AE91" s="166"/>
      <c r="AF91" s="166"/>
      <c r="AG91" s="167"/>
      <c r="AH91" s="167"/>
    </row>
    <row r="92" spans="1:34" ht="15" customHeight="1">
      <c r="A92" s="166">
        <v>87</v>
      </c>
      <c r="B92" s="207" t="s">
        <v>232</v>
      </c>
      <c r="C92" s="173">
        <v>8.1</v>
      </c>
      <c r="D92" s="210" t="s">
        <v>142</v>
      </c>
      <c r="E92" s="210" t="s">
        <v>142</v>
      </c>
      <c r="F92" s="208" t="s">
        <v>135</v>
      </c>
      <c r="G92" s="211" t="s">
        <v>83</v>
      </c>
      <c r="H92" s="172" t="s">
        <v>84</v>
      </c>
      <c r="I92" s="211" t="s">
        <v>83</v>
      </c>
      <c r="J92" s="178"/>
      <c r="K92" s="178"/>
      <c r="L92" s="178"/>
      <c r="M92" s="211" t="s">
        <v>83</v>
      </c>
      <c r="N92" s="211" t="s">
        <v>83</v>
      </c>
      <c r="O92" s="178"/>
      <c r="P92" s="172" t="s">
        <v>84</v>
      </c>
      <c r="Q92" s="172" t="s">
        <v>84</v>
      </c>
      <c r="R92" s="172" t="s">
        <v>84</v>
      </c>
      <c r="S92" s="211" t="s">
        <v>83</v>
      </c>
      <c r="T92" s="212" t="s">
        <v>83</v>
      </c>
      <c r="U92" s="212" t="s">
        <v>83</v>
      </c>
      <c r="V92" s="166" t="s">
        <v>132</v>
      </c>
      <c r="W92" s="166" t="s">
        <v>132</v>
      </c>
      <c r="X92" s="166"/>
      <c r="Y92" s="166"/>
      <c r="Z92" s="166" t="s">
        <v>132</v>
      </c>
      <c r="AA92" s="166"/>
      <c r="AB92" s="166"/>
      <c r="AC92" s="166" t="s">
        <v>132</v>
      </c>
      <c r="AD92" s="166" t="s">
        <v>132</v>
      </c>
      <c r="AE92" s="166" t="s">
        <v>132</v>
      </c>
      <c r="AF92" s="166" t="s">
        <v>132</v>
      </c>
      <c r="AG92" s="167"/>
      <c r="AH92" s="167"/>
    </row>
    <row r="93" spans="1:34" ht="15" customHeight="1">
      <c r="A93" s="166">
        <v>88</v>
      </c>
      <c r="B93" s="207" t="s">
        <v>233</v>
      </c>
      <c r="C93" s="173">
        <v>8.1</v>
      </c>
      <c r="D93" s="209" t="s">
        <v>139</v>
      </c>
      <c r="E93" s="210" t="s">
        <v>142</v>
      </c>
      <c r="F93" s="208" t="s">
        <v>135</v>
      </c>
      <c r="G93" s="172" t="s">
        <v>84</v>
      </c>
      <c r="H93" s="211" t="s">
        <v>83</v>
      </c>
      <c r="I93" s="211" t="s">
        <v>83</v>
      </c>
      <c r="J93" s="178"/>
      <c r="K93" s="178"/>
      <c r="L93" s="178"/>
      <c r="M93" s="178"/>
      <c r="N93" s="211" t="s">
        <v>83</v>
      </c>
      <c r="O93" s="172" t="s">
        <v>84</v>
      </c>
      <c r="P93" s="211" t="s">
        <v>83</v>
      </c>
      <c r="Q93" s="211" t="s">
        <v>83</v>
      </c>
      <c r="R93" s="177"/>
      <c r="S93" s="189"/>
      <c r="T93" s="168"/>
      <c r="U93" s="168"/>
      <c r="V93" s="168"/>
      <c r="W93" s="166" t="s">
        <v>132</v>
      </c>
      <c r="X93" s="166"/>
      <c r="Y93" s="166"/>
      <c r="Z93" s="166" t="s">
        <v>132</v>
      </c>
      <c r="AA93" s="166"/>
      <c r="AB93" s="166"/>
      <c r="AC93" s="166" t="s">
        <v>132</v>
      </c>
      <c r="AD93" s="166" t="s">
        <v>132</v>
      </c>
      <c r="AE93" s="166"/>
      <c r="AF93" s="166" t="s">
        <v>132</v>
      </c>
      <c r="AG93" s="167"/>
      <c r="AH93" s="167"/>
    </row>
    <row r="94" spans="1:34" ht="15" customHeight="1">
      <c r="A94" s="166">
        <v>89</v>
      </c>
      <c r="B94" s="207" t="s">
        <v>234</v>
      </c>
      <c r="C94" s="173">
        <v>8.1999999999999993</v>
      </c>
      <c r="D94" s="209" t="s">
        <v>130</v>
      </c>
      <c r="E94" s="209" t="s">
        <v>130</v>
      </c>
      <c r="F94" s="208" t="s">
        <v>135</v>
      </c>
      <c r="G94" s="174" t="s">
        <v>85</v>
      </c>
      <c r="H94" s="174" t="s">
        <v>85</v>
      </c>
      <c r="I94" s="179"/>
      <c r="J94" s="178"/>
      <c r="K94" s="174" t="s">
        <v>85</v>
      </c>
      <c r="L94" s="178"/>
      <c r="M94" s="178"/>
      <c r="N94" s="178"/>
      <c r="O94" s="178"/>
      <c r="P94" s="174" t="s">
        <v>85</v>
      </c>
      <c r="Q94" s="174" t="s">
        <v>85</v>
      </c>
      <c r="R94" s="174" t="s">
        <v>85</v>
      </c>
      <c r="S94" s="189"/>
      <c r="T94" s="168"/>
      <c r="U94" s="168"/>
      <c r="V94" s="168"/>
      <c r="W94" s="166" t="s">
        <v>132</v>
      </c>
      <c r="X94" s="166" t="s">
        <v>132</v>
      </c>
      <c r="Y94" s="166" t="s">
        <v>132</v>
      </c>
      <c r="Z94" s="166" t="s">
        <v>132</v>
      </c>
      <c r="AA94" s="166" t="s">
        <v>235</v>
      </c>
      <c r="AB94" s="166"/>
      <c r="AC94" s="166" t="s">
        <v>132</v>
      </c>
      <c r="AD94" s="166" t="s">
        <v>132</v>
      </c>
      <c r="AE94" s="166" t="s">
        <v>132</v>
      </c>
      <c r="AF94" s="166"/>
      <c r="AG94" s="167"/>
      <c r="AH94" s="167"/>
    </row>
    <row r="95" spans="1:34" ht="15" customHeight="1">
      <c r="A95" s="166">
        <v>90</v>
      </c>
      <c r="B95" s="207" t="s">
        <v>236</v>
      </c>
      <c r="C95" s="173">
        <v>8.1</v>
      </c>
      <c r="D95" s="209" t="s">
        <v>139</v>
      </c>
      <c r="E95" s="210" t="s">
        <v>142</v>
      </c>
      <c r="F95" s="208" t="s">
        <v>135</v>
      </c>
      <c r="G95" s="172" t="s">
        <v>84</v>
      </c>
      <c r="H95" s="211" t="s">
        <v>83</v>
      </c>
      <c r="I95" s="179"/>
      <c r="J95" s="211" t="s">
        <v>83</v>
      </c>
      <c r="K95" s="211" t="s">
        <v>83</v>
      </c>
      <c r="L95" s="172" t="s">
        <v>84</v>
      </c>
      <c r="M95" s="211" t="s">
        <v>83</v>
      </c>
      <c r="N95" s="174" t="s">
        <v>85</v>
      </c>
      <c r="O95" s="172" t="s">
        <v>84</v>
      </c>
      <c r="P95" s="211" t="s">
        <v>83</v>
      </c>
      <c r="Q95" s="177"/>
      <c r="R95" s="211" t="s">
        <v>83</v>
      </c>
      <c r="S95" s="211" t="s">
        <v>83</v>
      </c>
      <c r="T95" s="168"/>
      <c r="U95" s="168"/>
      <c r="V95" s="166" t="s">
        <v>132</v>
      </c>
      <c r="W95" s="166"/>
      <c r="X95" s="166"/>
      <c r="Y95" s="166"/>
      <c r="Z95" s="166" t="s">
        <v>132</v>
      </c>
      <c r="AA95" s="166" t="s">
        <v>235</v>
      </c>
      <c r="AB95" s="166"/>
      <c r="AC95" s="166" t="s">
        <v>132</v>
      </c>
      <c r="AD95" s="166"/>
      <c r="AE95" s="166"/>
      <c r="AF95" s="166"/>
      <c r="AG95" s="167"/>
      <c r="AH95" s="167"/>
    </row>
    <row r="96" spans="1:34" ht="15" customHeight="1">
      <c r="A96" s="166">
        <v>91</v>
      </c>
      <c r="B96" s="207" t="s">
        <v>237</v>
      </c>
      <c r="C96" s="173">
        <v>8.1</v>
      </c>
      <c r="D96" s="210" t="s">
        <v>142</v>
      </c>
      <c r="E96" s="210" t="s">
        <v>142</v>
      </c>
      <c r="F96" s="208" t="s">
        <v>135</v>
      </c>
      <c r="G96" s="174" t="s">
        <v>85</v>
      </c>
      <c r="H96" s="179"/>
      <c r="I96" s="179"/>
      <c r="J96" s="178"/>
      <c r="K96" s="178"/>
      <c r="L96" s="178"/>
      <c r="M96" s="178"/>
      <c r="N96" s="211" t="s">
        <v>83</v>
      </c>
      <c r="O96" s="178"/>
      <c r="P96" s="177"/>
      <c r="Q96" s="174" t="s">
        <v>85</v>
      </c>
      <c r="R96" s="174" t="s">
        <v>85</v>
      </c>
      <c r="S96" s="189"/>
      <c r="T96" s="168"/>
      <c r="U96" s="168"/>
      <c r="V96" s="166" t="s">
        <v>132</v>
      </c>
      <c r="W96" s="166" t="s">
        <v>132</v>
      </c>
      <c r="X96" s="166"/>
      <c r="Y96" s="166"/>
      <c r="Z96" s="166" t="s">
        <v>132</v>
      </c>
      <c r="AA96" s="166"/>
      <c r="AB96" s="166"/>
      <c r="AC96" s="166" t="s">
        <v>132</v>
      </c>
      <c r="AD96" s="166" t="s">
        <v>132</v>
      </c>
      <c r="AE96" s="166"/>
      <c r="AF96" s="166"/>
      <c r="AG96" s="167"/>
      <c r="AH96" s="167"/>
    </row>
    <row r="97" spans="1:34" ht="15" customHeight="1">
      <c r="A97" s="166">
        <v>92</v>
      </c>
      <c r="B97" s="207" t="s">
        <v>238</v>
      </c>
      <c r="C97" s="173">
        <v>8.1</v>
      </c>
      <c r="D97" s="210" t="s">
        <v>142</v>
      </c>
      <c r="E97" s="210" t="s">
        <v>142</v>
      </c>
      <c r="F97" s="173" t="s">
        <v>239</v>
      </c>
      <c r="G97" s="179"/>
      <c r="H97" s="179"/>
      <c r="I97" s="179"/>
      <c r="J97" s="178"/>
      <c r="K97" s="178"/>
      <c r="L97" s="178"/>
      <c r="M97" s="178"/>
      <c r="N97" s="211" t="s">
        <v>83</v>
      </c>
      <c r="O97" s="174" t="s">
        <v>85</v>
      </c>
      <c r="P97" s="177"/>
      <c r="Q97" s="211" t="s">
        <v>83</v>
      </c>
      <c r="R97" s="211" t="s">
        <v>83</v>
      </c>
      <c r="S97" s="172" t="s">
        <v>84</v>
      </c>
      <c r="T97" s="165" t="s">
        <v>84</v>
      </c>
      <c r="U97" s="168"/>
      <c r="V97" s="166" t="s">
        <v>132</v>
      </c>
      <c r="W97" s="166" t="s">
        <v>132</v>
      </c>
      <c r="X97" s="166"/>
      <c r="Y97" s="166"/>
      <c r="Z97" s="166"/>
      <c r="AA97" s="166"/>
      <c r="AB97" s="166"/>
      <c r="AC97" s="166"/>
      <c r="AD97" s="166"/>
      <c r="AE97" s="166"/>
      <c r="AF97" s="166"/>
      <c r="AG97" s="167"/>
      <c r="AH97" s="167"/>
    </row>
    <row r="98" spans="1:34" ht="15" customHeight="1">
      <c r="A98" s="166">
        <v>93</v>
      </c>
      <c r="B98" s="207" t="s">
        <v>240</v>
      </c>
      <c r="C98" s="173">
        <v>8.1</v>
      </c>
      <c r="D98" s="210" t="s">
        <v>145</v>
      </c>
      <c r="E98" s="209" t="s">
        <v>145</v>
      </c>
      <c r="F98" s="208" t="s">
        <v>135</v>
      </c>
      <c r="G98" s="179"/>
      <c r="H98" s="172" t="s">
        <v>84</v>
      </c>
      <c r="I98" s="172" t="s">
        <v>84</v>
      </c>
      <c r="J98" s="178"/>
      <c r="K98" s="178"/>
      <c r="L98" s="178"/>
      <c r="M98" s="178"/>
      <c r="N98" s="178"/>
      <c r="O98" s="178"/>
      <c r="P98" s="177"/>
      <c r="Q98" s="177"/>
      <c r="R98" s="177"/>
      <c r="S98" s="189"/>
      <c r="T98" s="168"/>
      <c r="U98" s="168"/>
      <c r="V98" s="168"/>
      <c r="W98" s="166" t="s">
        <v>132</v>
      </c>
      <c r="X98" s="166"/>
      <c r="Y98" s="166"/>
      <c r="Z98" s="166" t="s">
        <v>132</v>
      </c>
      <c r="AA98" s="166"/>
      <c r="AB98" s="166"/>
      <c r="AC98" s="166"/>
      <c r="AD98" s="166"/>
      <c r="AE98" s="166"/>
      <c r="AF98" s="166"/>
      <c r="AG98" s="167"/>
      <c r="AH98" s="167"/>
    </row>
    <row r="99" spans="1:34" ht="15" customHeight="1">
      <c r="A99" s="166">
        <v>94</v>
      </c>
      <c r="B99" s="207" t="s">
        <v>241</v>
      </c>
      <c r="C99" s="173">
        <v>8.1</v>
      </c>
      <c r="D99" s="210" t="s">
        <v>142</v>
      </c>
      <c r="E99" s="210" t="s">
        <v>142</v>
      </c>
      <c r="F99" s="208" t="s">
        <v>135</v>
      </c>
      <c r="G99" s="211" t="s">
        <v>83</v>
      </c>
      <c r="H99" s="211" t="s">
        <v>83</v>
      </c>
      <c r="I99" s="179"/>
      <c r="J99" s="178"/>
      <c r="K99" s="178"/>
      <c r="L99" s="178"/>
      <c r="M99" s="178"/>
      <c r="N99" s="178"/>
      <c r="O99" s="178"/>
      <c r="P99" s="211" t="s">
        <v>83</v>
      </c>
      <c r="Q99" s="177"/>
      <c r="R99" s="211" t="s">
        <v>83</v>
      </c>
      <c r="S99" s="189"/>
      <c r="T99" s="168"/>
      <c r="U99" s="168"/>
      <c r="V99" s="168"/>
      <c r="W99" s="166" t="s">
        <v>132</v>
      </c>
      <c r="X99" s="166"/>
      <c r="Y99" s="166" t="s">
        <v>132</v>
      </c>
      <c r="Z99" s="166" t="s">
        <v>132</v>
      </c>
      <c r="AA99" s="166"/>
      <c r="AB99" s="166"/>
      <c r="AC99" s="166" t="s">
        <v>132</v>
      </c>
      <c r="AD99" s="166" t="s">
        <v>132</v>
      </c>
      <c r="AE99" s="166" t="s">
        <v>132</v>
      </c>
      <c r="AF99" s="166" t="s">
        <v>132</v>
      </c>
      <c r="AG99" s="167"/>
      <c r="AH99" s="167"/>
    </row>
    <row r="100" spans="1:34" ht="15" customHeight="1">
      <c r="A100" s="166">
        <v>95</v>
      </c>
      <c r="B100" s="207" t="s">
        <v>242</v>
      </c>
      <c r="C100" s="173">
        <v>8.1</v>
      </c>
      <c r="D100" s="210" t="s">
        <v>142</v>
      </c>
      <c r="E100" s="209" t="s">
        <v>145</v>
      </c>
      <c r="F100" s="208" t="s">
        <v>135</v>
      </c>
      <c r="G100" s="179"/>
      <c r="H100" s="179"/>
      <c r="I100" s="179"/>
      <c r="J100" s="178"/>
      <c r="K100" s="178"/>
      <c r="L100" s="211" t="s">
        <v>83</v>
      </c>
      <c r="M100" s="178"/>
      <c r="N100" s="178"/>
      <c r="O100" s="178"/>
      <c r="P100" s="177"/>
      <c r="Q100" s="177"/>
      <c r="R100" s="211" t="s">
        <v>83</v>
      </c>
      <c r="S100" s="189"/>
      <c r="T100" s="168"/>
      <c r="U100" s="168"/>
      <c r="V100" s="168"/>
      <c r="W100" s="166" t="s">
        <v>132</v>
      </c>
      <c r="X100" s="166"/>
      <c r="Y100" s="166"/>
      <c r="Z100" s="166" t="s">
        <v>132</v>
      </c>
      <c r="AA100" s="166"/>
      <c r="AB100" s="166"/>
      <c r="AC100" s="166" t="s">
        <v>132</v>
      </c>
      <c r="AD100" s="166"/>
      <c r="AE100" s="166"/>
      <c r="AF100" s="166"/>
      <c r="AG100" s="167"/>
      <c r="AH100" s="167"/>
    </row>
    <row r="101" spans="1:34" ht="15" customHeight="1">
      <c r="A101" s="166">
        <v>96</v>
      </c>
      <c r="B101" s="207" t="s">
        <v>243</v>
      </c>
      <c r="C101" s="173">
        <v>8.1</v>
      </c>
      <c r="D101" s="209" t="s">
        <v>139</v>
      </c>
      <c r="E101" s="210" t="s">
        <v>142</v>
      </c>
      <c r="F101" s="208" t="s">
        <v>135</v>
      </c>
      <c r="G101" s="179"/>
      <c r="H101" s="179"/>
      <c r="I101" s="179"/>
      <c r="J101" s="178"/>
      <c r="K101" s="178"/>
      <c r="L101" s="178"/>
      <c r="M101" s="178"/>
      <c r="N101" s="178"/>
      <c r="O101" s="178"/>
      <c r="P101" s="177"/>
      <c r="Q101" s="177"/>
      <c r="R101" s="177"/>
      <c r="S101" s="189"/>
      <c r="T101" s="168"/>
      <c r="U101" s="168"/>
      <c r="V101" s="168"/>
      <c r="W101" s="166" t="s">
        <v>132</v>
      </c>
      <c r="X101" s="166" t="s">
        <v>132</v>
      </c>
      <c r="Y101" s="166"/>
      <c r="Z101" s="166"/>
      <c r="AA101" s="166"/>
      <c r="AB101" s="166"/>
      <c r="AC101" s="166" t="s">
        <v>132</v>
      </c>
      <c r="AD101" s="166"/>
      <c r="AE101" s="166"/>
      <c r="AF101" s="166"/>
      <c r="AG101" s="167"/>
      <c r="AH101" s="167"/>
    </row>
    <row r="102" spans="1:34" ht="15" customHeight="1">
      <c r="A102" s="166">
        <v>97</v>
      </c>
      <c r="B102" s="207" t="s">
        <v>244</v>
      </c>
      <c r="C102" s="173">
        <v>8.1</v>
      </c>
      <c r="D102" s="210" t="s">
        <v>142</v>
      </c>
      <c r="E102" s="210" t="s">
        <v>142</v>
      </c>
      <c r="F102" s="208" t="s">
        <v>135</v>
      </c>
      <c r="G102" s="179"/>
      <c r="H102" s="179"/>
      <c r="I102" s="211" t="s">
        <v>83</v>
      </c>
      <c r="J102" s="178"/>
      <c r="K102" s="172" t="s">
        <v>84</v>
      </c>
      <c r="L102" s="178"/>
      <c r="M102" s="211" t="s">
        <v>83</v>
      </c>
      <c r="N102" s="172" t="s">
        <v>84</v>
      </c>
      <c r="O102" s="174" t="s">
        <v>85</v>
      </c>
      <c r="P102" s="177"/>
      <c r="Q102" s="211" t="s">
        <v>83</v>
      </c>
      <c r="R102" s="211" t="s">
        <v>83</v>
      </c>
      <c r="S102" s="189"/>
      <c r="T102" s="168"/>
      <c r="U102" s="168"/>
      <c r="V102" s="168"/>
      <c r="W102" s="166"/>
      <c r="X102" s="166" t="s">
        <v>132</v>
      </c>
      <c r="Y102" s="166" t="s">
        <v>132</v>
      </c>
      <c r="Z102" s="166" t="s">
        <v>132</v>
      </c>
      <c r="AA102" s="166"/>
      <c r="AB102" s="166"/>
      <c r="AC102" s="166" t="s">
        <v>132</v>
      </c>
      <c r="AD102" s="166"/>
      <c r="AE102" s="166"/>
      <c r="AF102" s="166"/>
      <c r="AG102" s="167"/>
      <c r="AH102" s="167"/>
    </row>
    <row r="103" spans="1:34" ht="15" customHeight="1">
      <c r="A103" s="166">
        <v>98</v>
      </c>
      <c r="B103" s="207" t="s">
        <v>245</v>
      </c>
      <c r="C103" s="173">
        <v>8.1999999999999993</v>
      </c>
      <c r="D103" s="209" t="s">
        <v>139</v>
      </c>
      <c r="E103" s="209" t="s">
        <v>139</v>
      </c>
      <c r="F103" s="208" t="s">
        <v>135</v>
      </c>
      <c r="G103" s="179"/>
      <c r="H103" s="174" t="s">
        <v>85</v>
      </c>
      <c r="I103" s="174" t="s">
        <v>85</v>
      </c>
      <c r="J103" s="178"/>
      <c r="K103" s="174" t="s">
        <v>85</v>
      </c>
      <c r="L103" s="178"/>
      <c r="M103" s="178"/>
      <c r="N103" s="178"/>
      <c r="O103" s="178"/>
      <c r="P103" s="177"/>
      <c r="Q103" s="211" t="s">
        <v>83</v>
      </c>
      <c r="R103" s="174" t="s">
        <v>85</v>
      </c>
      <c r="S103" s="174" t="s">
        <v>85</v>
      </c>
      <c r="T103" s="164" t="s">
        <v>85</v>
      </c>
      <c r="U103" s="164" t="s">
        <v>85</v>
      </c>
      <c r="V103" s="168"/>
      <c r="W103" s="166" t="s">
        <v>132</v>
      </c>
      <c r="X103" s="166"/>
      <c r="Y103" s="166"/>
      <c r="Z103" s="166" t="s">
        <v>132</v>
      </c>
      <c r="AA103" s="166"/>
      <c r="AB103" s="166"/>
      <c r="AC103" s="166" t="s">
        <v>132</v>
      </c>
      <c r="AD103" s="166" t="s">
        <v>132</v>
      </c>
      <c r="AE103" s="166" t="s">
        <v>132</v>
      </c>
      <c r="AF103" s="166" t="s">
        <v>132</v>
      </c>
      <c r="AG103" s="167"/>
      <c r="AH103" s="167"/>
    </row>
    <row r="104" spans="1:34" ht="15" customHeight="1">
      <c r="A104" s="166">
        <v>99</v>
      </c>
      <c r="B104" s="207" t="s">
        <v>246</v>
      </c>
      <c r="C104" s="173">
        <v>8.1999999999999993</v>
      </c>
      <c r="D104" s="209" t="s">
        <v>130</v>
      </c>
      <c r="E104" s="209" t="s">
        <v>130</v>
      </c>
      <c r="F104" s="208" t="s">
        <v>135</v>
      </c>
      <c r="G104" s="174" t="s">
        <v>85</v>
      </c>
      <c r="H104" s="174" t="s">
        <v>85</v>
      </c>
      <c r="I104" s="179"/>
      <c r="J104" s="178"/>
      <c r="K104" s="174" t="s">
        <v>85</v>
      </c>
      <c r="L104" s="178"/>
      <c r="M104" s="178"/>
      <c r="N104" s="178"/>
      <c r="O104" s="178"/>
      <c r="P104" s="174" t="s">
        <v>85</v>
      </c>
      <c r="Q104" s="174" t="s">
        <v>85</v>
      </c>
      <c r="R104" s="174" t="s">
        <v>85</v>
      </c>
      <c r="S104" s="189"/>
      <c r="T104" s="168"/>
      <c r="U104" s="168"/>
      <c r="V104" s="168"/>
      <c r="W104" s="166" t="s">
        <v>132</v>
      </c>
      <c r="X104" s="166" t="s">
        <v>132</v>
      </c>
      <c r="Y104" s="166" t="s">
        <v>132</v>
      </c>
      <c r="Z104" s="166" t="s">
        <v>132</v>
      </c>
      <c r="AA104" s="166" t="s">
        <v>235</v>
      </c>
      <c r="AB104" s="166"/>
      <c r="AC104" s="166" t="s">
        <v>132</v>
      </c>
      <c r="AD104" s="166" t="s">
        <v>132</v>
      </c>
      <c r="AE104" s="166" t="s">
        <v>132</v>
      </c>
      <c r="AF104" s="166"/>
      <c r="AG104" s="167"/>
      <c r="AH104" s="167"/>
    </row>
    <row r="105" spans="1:34" ht="15" customHeight="1">
      <c r="A105" s="166">
        <v>100</v>
      </c>
      <c r="B105" s="207" t="s">
        <v>247</v>
      </c>
      <c r="C105" s="173">
        <v>8.1999999999999993</v>
      </c>
      <c r="D105" s="210" t="s">
        <v>142</v>
      </c>
      <c r="E105" s="210" t="s">
        <v>142</v>
      </c>
      <c r="F105" s="208" t="s">
        <v>135</v>
      </c>
      <c r="G105" s="179"/>
      <c r="H105" s="172" t="s">
        <v>84</v>
      </c>
      <c r="I105" s="174" t="s">
        <v>85</v>
      </c>
      <c r="J105" s="178"/>
      <c r="K105" s="178"/>
      <c r="L105" s="178"/>
      <c r="M105" s="178"/>
      <c r="N105" s="178"/>
      <c r="O105" s="178"/>
      <c r="P105" s="177"/>
      <c r="Q105" s="177"/>
      <c r="R105" s="177"/>
      <c r="S105" s="189"/>
      <c r="T105" s="168"/>
      <c r="U105" s="168"/>
      <c r="V105" s="168"/>
      <c r="W105" s="166" t="s">
        <v>132</v>
      </c>
      <c r="X105" s="166"/>
      <c r="Y105" s="166"/>
      <c r="Z105" s="166"/>
      <c r="AA105" s="166"/>
      <c r="AB105" s="166"/>
      <c r="AC105" s="166" t="s">
        <v>132</v>
      </c>
      <c r="AD105" s="166"/>
      <c r="AE105" s="166"/>
      <c r="AF105" s="166"/>
      <c r="AG105" s="167"/>
      <c r="AH105" s="167"/>
    </row>
    <row r="106" spans="1:34" ht="15" customHeight="1">
      <c r="A106" s="166">
        <v>101</v>
      </c>
      <c r="B106" s="207" t="s">
        <v>248</v>
      </c>
      <c r="C106" s="173">
        <v>8.1</v>
      </c>
      <c r="D106" s="209" t="s">
        <v>139</v>
      </c>
      <c r="E106" s="209" t="s">
        <v>139</v>
      </c>
      <c r="F106" s="208" t="s">
        <v>135</v>
      </c>
      <c r="G106" s="179"/>
      <c r="H106" s="172" t="s">
        <v>84</v>
      </c>
      <c r="I106" s="179"/>
      <c r="J106" s="178"/>
      <c r="K106" s="178"/>
      <c r="L106" s="178"/>
      <c r="M106" s="178"/>
      <c r="N106" s="178"/>
      <c r="O106" s="178"/>
      <c r="P106" s="174" t="s">
        <v>85</v>
      </c>
      <c r="Q106" s="177"/>
      <c r="R106" s="172" t="s">
        <v>84</v>
      </c>
      <c r="S106" s="189"/>
      <c r="T106" s="168"/>
      <c r="U106" s="168"/>
      <c r="V106" s="168"/>
      <c r="W106" s="166"/>
      <c r="X106" s="166" t="s">
        <v>132</v>
      </c>
      <c r="Y106" s="166"/>
      <c r="Z106" s="166"/>
      <c r="AA106" s="166"/>
      <c r="AB106" s="166"/>
      <c r="AC106" s="166" t="s">
        <v>132</v>
      </c>
      <c r="AD106" s="166"/>
      <c r="AE106" s="166" t="s">
        <v>132</v>
      </c>
      <c r="AF106" s="166"/>
      <c r="AG106" s="167"/>
      <c r="AH106" s="167"/>
    </row>
    <row r="107" spans="1:34" ht="15" customHeight="1">
      <c r="A107" s="166">
        <v>102</v>
      </c>
      <c r="B107" s="207" t="s">
        <v>249</v>
      </c>
      <c r="C107" s="173">
        <v>8.1</v>
      </c>
      <c r="D107" s="210" t="s">
        <v>142</v>
      </c>
      <c r="E107" s="209" t="s">
        <v>145</v>
      </c>
      <c r="F107" s="208" t="s">
        <v>135</v>
      </c>
      <c r="G107" s="172" t="s">
        <v>84</v>
      </c>
      <c r="H107" s="179"/>
      <c r="I107" s="174" t="s">
        <v>85</v>
      </c>
      <c r="J107" s="178"/>
      <c r="K107" s="178"/>
      <c r="L107" s="178"/>
      <c r="M107" s="211" t="s">
        <v>83</v>
      </c>
      <c r="N107" s="178"/>
      <c r="O107" s="178"/>
      <c r="P107" s="211" t="s">
        <v>83</v>
      </c>
      <c r="Q107" s="211" t="s">
        <v>83</v>
      </c>
      <c r="R107" s="177"/>
      <c r="S107" s="189"/>
      <c r="T107" s="168"/>
      <c r="U107" s="168"/>
      <c r="V107" s="168"/>
      <c r="W107" s="166" t="s">
        <v>132</v>
      </c>
      <c r="X107" s="166"/>
      <c r="Y107" s="166" t="s">
        <v>132</v>
      </c>
      <c r="Z107" s="166" t="s">
        <v>132</v>
      </c>
      <c r="AA107" s="166"/>
      <c r="AB107" s="166"/>
      <c r="AC107" s="166"/>
      <c r="AD107" s="166"/>
      <c r="AE107" s="166"/>
      <c r="AF107" s="166"/>
      <c r="AG107" s="167"/>
      <c r="AH107" s="167"/>
    </row>
    <row r="108" spans="1:34" ht="15" customHeight="1">
      <c r="A108" s="166">
        <v>103</v>
      </c>
      <c r="B108" s="207" t="s">
        <v>250</v>
      </c>
      <c r="C108" s="173">
        <v>8.1</v>
      </c>
      <c r="D108" s="210" t="s">
        <v>142</v>
      </c>
      <c r="E108" s="210" t="s">
        <v>142</v>
      </c>
      <c r="F108" s="208" t="s">
        <v>135</v>
      </c>
      <c r="G108" s="179"/>
      <c r="H108" s="174" t="s">
        <v>85</v>
      </c>
      <c r="I108" s="179"/>
      <c r="J108" s="178"/>
      <c r="K108" s="174" t="s">
        <v>85</v>
      </c>
      <c r="L108" s="178"/>
      <c r="M108" s="178"/>
      <c r="N108" s="178"/>
      <c r="O108" s="178"/>
      <c r="P108" s="174" t="s">
        <v>85</v>
      </c>
      <c r="Q108" s="177"/>
      <c r="R108" s="174" t="s">
        <v>85</v>
      </c>
      <c r="S108" s="189"/>
      <c r="T108" s="168"/>
      <c r="U108" s="168"/>
      <c r="V108" s="168"/>
      <c r="W108" s="166"/>
      <c r="X108" s="166"/>
      <c r="Y108" s="166"/>
      <c r="Z108" s="166" t="s">
        <v>132</v>
      </c>
      <c r="AA108" s="166"/>
      <c r="AB108" s="166"/>
      <c r="AC108" s="166" t="s">
        <v>132</v>
      </c>
      <c r="AD108" s="166"/>
      <c r="AE108" s="166"/>
      <c r="AF108" s="166"/>
      <c r="AG108" s="167"/>
      <c r="AH108" s="167"/>
    </row>
    <row r="109" spans="1:34" ht="15" customHeight="1">
      <c r="A109" s="166">
        <v>104</v>
      </c>
      <c r="B109" s="207" t="s">
        <v>251</v>
      </c>
      <c r="C109" s="173">
        <v>8.1999999999999993</v>
      </c>
      <c r="D109" s="209" t="s">
        <v>137</v>
      </c>
      <c r="E109" s="209" t="s">
        <v>139</v>
      </c>
      <c r="F109" s="208" t="s">
        <v>135</v>
      </c>
      <c r="G109" s="179"/>
      <c r="H109" s="179"/>
      <c r="I109" s="179"/>
      <c r="J109" s="178"/>
      <c r="K109" s="178"/>
      <c r="L109" s="178"/>
      <c r="M109" s="178"/>
      <c r="N109" s="178"/>
      <c r="O109" s="178"/>
      <c r="P109" s="174" t="s">
        <v>85</v>
      </c>
      <c r="Q109" s="177"/>
      <c r="R109" s="174" t="s">
        <v>85</v>
      </c>
      <c r="S109" s="189"/>
      <c r="T109" s="168"/>
      <c r="U109" s="168"/>
      <c r="V109" s="168"/>
      <c r="W109" s="166"/>
      <c r="X109" s="166" t="s">
        <v>132</v>
      </c>
      <c r="Y109" s="166"/>
      <c r="Z109" s="166" t="s">
        <v>132</v>
      </c>
      <c r="AA109" s="166"/>
      <c r="AB109" s="166"/>
      <c r="AC109" s="166" t="s">
        <v>132</v>
      </c>
      <c r="AD109" s="166"/>
      <c r="AE109" s="166" t="s">
        <v>132</v>
      </c>
      <c r="AF109" s="166"/>
      <c r="AG109" s="167"/>
      <c r="AH109" s="167"/>
    </row>
    <row r="110" spans="1:34" ht="15" customHeight="1">
      <c r="A110" s="166">
        <v>105</v>
      </c>
      <c r="B110" s="207" t="s">
        <v>252</v>
      </c>
      <c r="C110" s="173">
        <v>8.1</v>
      </c>
      <c r="D110" s="210" t="s">
        <v>142</v>
      </c>
      <c r="E110" s="210" t="s">
        <v>142</v>
      </c>
      <c r="F110" s="208" t="s">
        <v>135</v>
      </c>
      <c r="G110" s="179"/>
      <c r="H110" s="174" t="s">
        <v>85</v>
      </c>
      <c r="I110" s="179"/>
      <c r="J110" s="178"/>
      <c r="K110" s="178"/>
      <c r="L110" s="178"/>
      <c r="M110" s="178"/>
      <c r="N110" s="178"/>
      <c r="O110" s="178"/>
      <c r="P110" s="174" t="s">
        <v>85</v>
      </c>
      <c r="Q110" s="174" t="s">
        <v>85</v>
      </c>
      <c r="R110" s="177"/>
      <c r="S110" s="189"/>
      <c r="T110" s="168"/>
      <c r="U110" s="168"/>
      <c r="V110" s="168"/>
      <c r="W110" s="166" t="s">
        <v>132</v>
      </c>
      <c r="X110" s="166"/>
      <c r="Y110" s="166" t="s">
        <v>132</v>
      </c>
      <c r="Z110" s="166" t="s">
        <v>132</v>
      </c>
      <c r="AA110" s="166"/>
      <c r="AB110" s="166"/>
      <c r="AC110" s="166" t="s">
        <v>132</v>
      </c>
      <c r="AD110" s="166" t="s">
        <v>132</v>
      </c>
      <c r="AE110" s="166"/>
      <c r="AF110" s="166"/>
      <c r="AG110" s="167"/>
      <c r="AH110" s="167"/>
    </row>
    <row r="111" spans="1:34" ht="15" customHeight="1">
      <c r="A111" s="166">
        <v>106</v>
      </c>
      <c r="B111" s="207" t="s">
        <v>253</v>
      </c>
      <c r="C111" s="173">
        <v>8.1</v>
      </c>
      <c r="D111" s="210" t="s">
        <v>142</v>
      </c>
      <c r="E111" s="210" t="s">
        <v>142</v>
      </c>
      <c r="F111" s="208" t="s">
        <v>135</v>
      </c>
      <c r="G111" s="179"/>
      <c r="H111" s="179"/>
      <c r="I111" s="174" t="s">
        <v>85</v>
      </c>
      <c r="J111" s="178"/>
      <c r="K111" s="178"/>
      <c r="L111" s="178"/>
      <c r="M111" s="178"/>
      <c r="N111" s="178"/>
      <c r="O111" s="178"/>
      <c r="P111" s="177"/>
      <c r="Q111" s="177"/>
      <c r="R111" s="177"/>
      <c r="S111" s="189"/>
      <c r="T111" s="168"/>
      <c r="U111" s="168"/>
      <c r="V111" s="168"/>
      <c r="W111" s="166" t="s">
        <v>132</v>
      </c>
      <c r="X111" s="166"/>
      <c r="Y111" s="166"/>
      <c r="Z111" s="166" t="s">
        <v>132</v>
      </c>
      <c r="AA111" s="166"/>
      <c r="AB111" s="166"/>
      <c r="AC111" s="166"/>
      <c r="AD111" s="166"/>
      <c r="AE111" s="166"/>
      <c r="AF111" s="166"/>
      <c r="AG111" s="167"/>
      <c r="AH111" s="167"/>
    </row>
    <row r="112" spans="1:34" ht="15" customHeight="1">
      <c r="A112" s="166">
        <v>107</v>
      </c>
      <c r="B112" s="207" t="s">
        <v>254</v>
      </c>
      <c r="C112" s="173">
        <v>8.1</v>
      </c>
      <c r="D112" s="209" t="s">
        <v>139</v>
      </c>
      <c r="E112" s="209" t="s">
        <v>139</v>
      </c>
      <c r="F112" s="208" t="s">
        <v>135</v>
      </c>
      <c r="G112" s="174" t="s">
        <v>85</v>
      </c>
      <c r="H112" s="174" t="s">
        <v>85</v>
      </c>
      <c r="I112" s="174" t="s">
        <v>85</v>
      </c>
      <c r="J112" s="174" t="s">
        <v>85</v>
      </c>
      <c r="K112" s="174" t="s">
        <v>85</v>
      </c>
      <c r="L112" s="174" t="s">
        <v>85</v>
      </c>
      <c r="M112" s="174" t="s">
        <v>85</v>
      </c>
      <c r="N112" s="174" t="s">
        <v>85</v>
      </c>
      <c r="O112" s="174" t="s">
        <v>85</v>
      </c>
      <c r="P112" s="174" t="s">
        <v>85</v>
      </c>
      <c r="Q112" s="174" t="s">
        <v>85</v>
      </c>
      <c r="R112" s="174" t="s">
        <v>85</v>
      </c>
      <c r="S112" s="174" t="s">
        <v>85</v>
      </c>
      <c r="T112" s="164" t="s">
        <v>85</v>
      </c>
      <c r="U112" s="164" t="s">
        <v>85</v>
      </c>
      <c r="V112" s="166" t="s">
        <v>132</v>
      </c>
      <c r="W112" s="166"/>
      <c r="X112" s="166"/>
      <c r="Y112" s="166"/>
      <c r="Z112" s="166" t="s">
        <v>132</v>
      </c>
      <c r="AA112" s="166"/>
      <c r="AB112" s="166"/>
      <c r="AC112" s="166"/>
      <c r="AD112" s="166"/>
      <c r="AE112" s="166"/>
      <c r="AF112" s="166" t="s">
        <v>132</v>
      </c>
      <c r="AG112" s="167"/>
      <c r="AH112" s="167"/>
    </row>
    <row r="113" spans="1:34" ht="15" customHeight="1">
      <c r="A113" s="166">
        <v>108</v>
      </c>
      <c r="B113" s="207" t="s">
        <v>255</v>
      </c>
      <c r="C113" s="173">
        <v>8.1</v>
      </c>
      <c r="D113" s="210" t="s">
        <v>142</v>
      </c>
      <c r="E113" s="210" t="s">
        <v>142</v>
      </c>
      <c r="F113" s="208" t="s">
        <v>135</v>
      </c>
      <c r="G113" s="211" t="s">
        <v>83</v>
      </c>
      <c r="H113" s="174" t="s">
        <v>85</v>
      </c>
      <c r="I113" s="179"/>
      <c r="J113" s="178"/>
      <c r="K113" s="211" t="s">
        <v>83</v>
      </c>
      <c r="L113" s="178"/>
      <c r="M113" s="178"/>
      <c r="N113" s="178"/>
      <c r="O113" s="174" t="s">
        <v>85</v>
      </c>
      <c r="P113" s="177"/>
      <c r="Q113" s="177"/>
      <c r="R113" s="177"/>
      <c r="S113" s="189"/>
      <c r="T113" s="168"/>
      <c r="U113" s="168"/>
      <c r="V113" s="168"/>
      <c r="W113" s="166" t="s">
        <v>132</v>
      </c>
      <c r="X113" s="166"/>
      <c r="Y113" s="166"/>
      <c r="Z113" s="166" t="s">
        <v>132</v>
      </c>
      <c r="AA113" s="166"/>
      <c r="AB113" s="166"/>
      <c r="AC113" s="166"/>
      <c r="AD113" s="166"/>
      <c r="AE113" s="166"/>
      <c r="AF113" s="166" t="s">
        <v>132</v>
      </c>
      <c r="AG113" s="167"/>
      <c r="AH113" s="167"/>
    </row>
    <row r="114" spans="1:34" ht="15" customHeight="1">
      <c r="A114" s="166">
        <v>109</v>
      </c>
      <c r="B114" s="207" t="s">
        <v>256</v>
      </c>
      <c r="C114" s="173">
        <v>8.1999999999999993</v>
      </c>
      <c r="D114" s="209" t="s">
        <v>139</v>
      </c>
      <c r="E114" s="209" t="s">
        <v>139</v>
      </c>
      <c r="F114" s="208" t="s">
        <v>135</v>
      </c>
      <c r="G114" s="174" t="s">
        <v>85</v>
      </c>
      <c r="H114" s="174" t="s">
        <v>85</v>
      </c>
      <c r="I114" s="179"/>
      <c r="J114" s="178"/>
      <c r="K114" s="178"/>
      <c r="L114" s="178"/>
      <c r="M114" s="178"/>
      <c r="N114" s="178"/>
      <c r="O114" s="178"/>
      <c r="P114" s="177"/>
      <c r="Q114" s="174" t="s">
        <v>85</v>
      </c>
      <c r="R114" s="174" t="s">
        <v>85</v>
      </c>
      <c r="S114" s="174" t="s">
        <v>85</v>
      </c>
      <c r="T114" s="164" t="s">
        <v>85</v>
      </c>
      <c r="U114" s="164" t="s">
        <v>85</v>
      </c>
      <c r="V114" s="166" t="s">
        <v>132</v>
      </c>
      <c r="W114" s="166" t="s">
        <v>132</v>
      </c>
      <c r="X114" s="166" t="s">
        <v>132</v>
      </c>
      <c r="Y114" s="166"/>
      <c r="Z114" s="166" t="s">
        <v>132</v>
      </c>
      <c r="AA114" s="166"/>
      <c r="AB114" s="166"/>
      <c r="AC114" s="166" t="s">
        <v>132</v>
      </c>
      <c r="AD114" s="166"/>
      <c r="AE114" s="166"/>
      <c r="AF114" s="166" t="s">
        <v>132</v>
      </c>
      <c r="AG114" s="167"/>
      <c r="AH114" s="167"/>
    </row>
    <row r="115" spans="1:34" ht="15" customHeight="1">
      <c r="A115" s="166">
        <v>110</v>
      </c>
      <c r="B115" s="207" t="s">
        <v>257</v>
      </c>
      <c r="C115" s="173">
        <v>8.1</v>
      </c>
      <c r="D115" s="210" t="s">
        <v>142</v>
      </c>
      <c r="E115" s="210" t="s">
        <v>142</v>
      </c>
      <c r="F115" s="208" t="s">
        <v>135</v>
      </c>
      <c r="G115" s="179"/>
      <c r="H115" s="172" t="s">
        <v>84</v>
      </c>
      <c r="I115" s="179"/>
      <c r="J115" s="178"/>
      <c r="K115" s="178"/>
      <c r="L115" s="178"/>
      <c r="M115" s="178"/>
      <c r="N115" s="178"/>
      <c r="O115" s="178"/>
      <c r="P115" s="177"/>
      <c r="Q115" s="177"/>
      <c r="R115" s="172" t="s">
        <v>84</v>
      </c>
      <c r="S115" s="189"/>
      <c r="T115" s="168"/>
      <c r="U115" s="168"/>
      <c r="V115" s="168"/>
      <c r="W115" s="166"/>
      <c r="X115" s="166"/>
      <c r="Y115" s="166"/>
      <c r="Z115" s="166" t="s">
        <v>132</v>
      </c>
      <c r="AA115" s="166"/>
      <c r="AB115" s="166"/>
      <c r="AC115" s="166" t="s">
        <v>132</v>
      </c>
      <c r="AD115" s="166"/>
      <c r="AE115" s="166"/>
      <c r="AF115" s="166"/>
      <c r="AG115" s="167"/>
      <c r="AH115" s="167"/>
    </row>
    <row r="116" spans="1:34" ht="15" customHeight="1">
      <c r="A116" s="166">
        <v>111</v>
      </c>
      <c r="B116" s="207" t="s">
        <v>258</v>
      </c>
      <c r="C116" s="173">
        <v>8.1</v>
      </c>
      <c r="D116" s="210" t="s">
        <v>142</v>
      </c>
      <c r="E116" s="210" t="s">
        <v>142</v>
      </c>
      <c r="F116" s="208" t="s">
        <v>135</v>
      </c>
      <c r="G116" s="174" t="s">
        <v>85</v>
      </c>
      <c r="H116" s="174" t="s">
        <v>85</v>
      </c>
      <c r="I116" s="174" t="s">
        <v>85</v>
      </c>
      <c r="J116" s="174" t="s">
        <v>85</v>
      </c>
      <c r="K116" s="174" t="s">
        <v>85</v>
      </c>
      <c r="L116" s="174" t="s">
        <v>85</v>
      </c>
      <c r="M116" s="174" t="s">
        <v>85</v>
      </c>
      <c r="N116" s="174" t="s">
        <v>85</v>
      </c>
      <c r="O116" s="174" t="s">
        <v>85</v>
      </c>
      <c r="P116" s="174" t="s">
        <v>85</v>
      </c>
      <c r="Q116" s="174" t="s">
        <v>85</v>
      </c>
      <c r="R116" s="174" t="s">
        <v>85</v>
      </c>
      <c r="S116" s="174" t="s">
        <v>85</v>
      </c>
      <c r="T116" s="164" t="s">
        <v>85</v>
      </c>
      <c r="U116" s="164" t="s">
        <v>85</v>
      </c>
      <c r="V116" s="166" t="s">
        <v>132</v>
      </c>
      <c r="W116" s="166"/>
      <c r="X116" s="166"/>
      <c r="Y116" s="166" t="s">
        <v>132</v>
      </c>
      <c r="Z116" s="166" t="s">
        <v>132</v>
      </c>
      <c r="AA116" s="166"/>
      <c r="AB116" s="166"/>
      <c r="AC116" s="166" t="s">
        <v>132</v>
      </c>
      <c r="AD116" s="166"/>
      <c r="AE116" s="166" t="s">
        <v>132</v>
      </c>
      <c r="AF116" s="166" t="s">
        <v>132</v>
      </c>
      <c r="AG116" s="167"/>
      <c r="AH116" s="167"/>
    </row>
    <row r="117" spans="1:34" ht="15" customHeight="1">
      <c r="A117" s="166">
        <v>112</v>
      </c>
      <c r="B117" s="207" t="s">
        <v>259</v>
      </c>
      <c r="C117" s="173">
        <v>8.1999999999999993</v>
      </c>
      <c r="D117" s="210" t="s">
        <v>142</v>
      </c>
      <c r="E117" s="210" t="s">
        <v>142</v>
      </c>
      <c r="F117" s="208" t="s">
        <v>135</v>
      </c>
      <c r="G117" s="172" t="s">
        <v>84</v>
      </c>
      <c r="H117" s="172" t="s">
        <v>84</v>
      </c>
      <c r="I117" s="172" t="s">
        <v>84</v>
      </c>
      <c r="J117" s="211" t="s">
        <v>83</v>
      </c>
      <c r="K117" s="172" t="s">
        <v>84</v>
      </c>
      <c r="L117" s="172" t="s">
        <v>84</v>
      </c>
      <c r="M117" s="172" t="s">
        <v>84</v>
      </c>
      <c r="N117" s="211" t="s">
        <v>83</v>
      </c>
      <c r="O117" s="172" t="s">
        <v>84</v>
      </c>
      <c r="P117" s="211" t="s">
        <v>83</v>
      </c>
      <c r="Q117" s="211" t="s">
        <v>83</v>
      </c>
      <c r="R117" s="172" t="s">
        <v>84</v>
      </c>
      <c r="S117" s="172" t="s">
        <v>84</v>
      </c>
      <c r="T117" s="165" t="s">
        <v>84</v>
      </c>
      <c r="U117" s="165" t="s">
        <v>84</v>
      </c>
      <c r="V117" s="166" t="s">
        <v>132</v>
      </c>
      <c r="W117" s="166" t="s">
        <v>132</v>
      </c>
      <c r="X117" s="166"/>
      <c r="Y117" s="166"/>
      <c r="Z117" s="166" t="s">
        <v>132</v>
      </c>
      <c r="AA117" s="166"/>
      <c r="AB117" s="166"/>
      <c r="AC117" s="166" t="s">
        <v>132</v>
      </c>
      <c r="AD117" s="166" t="s">
        <v>132</v>
      </c>
      <c r="AE117" s="166"/>
      <c r="AF117" s="166" t="s">
        <v>132</v>
      </c>
      <c r="AG117" s="167"/>
      <c r="AH117" s="167"/>
    </row>
    <row r="118" spans="1:34" ht="15" customHeight="1">
      <c r="A118" s="166">
        <v>113</v>
      </c>
      <c r="B118" s="207" t="s">
        <v>260</v>
      </c>
      <c r="C118" s="173">
        <v>8.1</v>
      </c>
      <c r="D118" s="210" t="s">
        <v>142</v>
      </c>
      <c r="E118" s="209" t="s">
        <v>145</v>
      </c>
      <c r="F118" s="173" t="s">
        <v>261</v>
      </c>
      <c r="G118" s="211" t="s">
        <v>83</v>
      </c>
      <c r="H118" s="211" t="s">
        <v>83</v>
      </c>
      <c r="I118" s="179"/>
      <c r="J118" s="178"/>
      <c r="K118" s="211" t="s">
        <v>83</v>
      </c>
      <c r="L118" s="211" t="s">
        <v>83</v>
      </c>
      <c r="M118" s="178"/>
      <c r="N118" s="178"/>
      <c r="O118" s="172" t="s">
        <v>84</v>
      </c>
      <c r="P118" s="172" t="s">
        <v>84</v>
      </c>
      <c r="Q118" s="172" t="s">
        <v>84</v>
      </c>
      <c r="R118" s="211" t="s">
        <v>83</v>
      </c>
      <c r="S118" s="211" t="s">
        <v>83</v>
      </c>
      <c r="T118" s="212" t="s">
        <v>83</v>
      </c>
      <c r="U118" s="212" t="s">
        <v>83</v>
      </c>
      <c r="V118" s="168"/>
      <c r="W118" s="166" t="s">
        <v>132</v>
      </c>
      <c r="X118" s="166" t="s">
        <v>132</v>
      </c>
      <c r="Y118" s="166"/>
      <c r="Z118" s="166" t="s">
        <v>132</v>
      </c>
      <c r="AA118" s="166"/>
      <c r="AB118" s="166"/>
      <c r="AC118" s="166" t="s">
        <v>132</v>
      </c>
      <c r="AD118" s="166" t="s">
        <v>132</v>
      </c>
      <c r="AE118" s="166" t="s">
        <v>132</v>
      </c>
      <c r="AF118" s="166" t="s">
        <v>132</v>
      </c>
      <c r="AG118" s="167"/>
      <c r="AH118" s="167"/>
    </row>
    <row r="119" spans="1:34" ht="15" customHeight="1">
      <c r="A119" s="166">
        <v>114</v>
      </c>
      <c r="B119" s="207" t="s">
        <v>262</v>
      </c>
      <c r="C119" s="173">
        <v>8.1</v>
      </c>
      <c r="D119" s="209" t="s">
        <v>139</v>
      </c>
      <c r="E119" s="209" t="s">
        <v>139</v>
      </c>
      <c r="F119" s="208" t="s">
        <v>135</v>
      </c>
      <c r="G119" s="174" t="s">
        <v>85</v>
      </c>
      <c r="H119" s="172" t="s">
        <v>84</v>
      </c>
      <c r="I119" s="179"/>
      <c r="J119" s="178"/>
      <c r="K119" s="172" t="s">
        <v>84</v>
      </c>
      <c r="L119" s="211" t="s">
        <v>83</v>
      </c>
      <c r="M119" s="178"/>
      <c r="N119" s="178"/>
      <c r="O119" s="178"/>
      <c r="P119" s="172" t="s">
        <v>84</v>
      </c>
      <c r="Q119" s="172" t="s">
        <v>84</v>
      </c>
      <c r="R119" s="172" t="s">
        <v>84</v>
      </c>
      <c r="S119" s="174" t="s">
        <v>85</v>
      </c>
      <c r="T119" s="164" t="s">
        <v>85</v>
      </c>
      <c r="U119" s="164" t="s">
        <v>85</v>
      </c>
      <c r="V119" s="168"/>
      <c r="W119" s="166" t="s">
        <v>132</v>
      </c>
      <c r="X119" s="166" t="s">
        <v>132</v>
      </c>
      <c r="Y119" s="166"/>
      <c r="Z119" s="166" t="s">
        <v>132</v>
      </c>
      <c r="AA119" s="166"/>
      <c r="AB119" s="166"/>
      <c r="AC119" s="166" t="s">
        <v>132</v>
      </c>
      <c r="AD119" s="166"/>
      <c r="AE119" s="166"/>
      <c r="AF119" s="166" t="s">
        <v>132</v>
      </c>
      <c r="AG119" s="167"/>
      <c r="AH119" s="167"/>
    </row>
    <row r="120" spans="1:34" ht="15" customHeight="1">
      <c r="A120" s="166">
        <v>115</v>
      </c>
      <c r="B120" s="207" t="s">
        <v>263</v>
      </c>
      <c r="C120" s="173">
        <v>8.1</v>
      </c>
      <c r="D120" s="210" t="s">
        <v>142</v>
      </c>
      <c r="E120" s="210" t="s">
        <v>142</v>
      </c>
      <c r="F120" s="208" t="s">
        <v>135</v>
      </c>
      <c r="G120" s="174" t="s">
        <v>85</v>
      </c>
      <c r="H120" s="174" t="s">
        <v>85</v>
      </c>
      <c r="I120" s="174" t="s">
        <v>85</v>
      </c>
      <c r="J120" s="172" t="s">
        <v>84</v>
      </c>
      <c r="K120" s="172" t="s">
        <v>84</v>
      </c>
      <c r="L120" s="211" t="s">
        <v>83</v>
      </c>
      <c r="M120" s="178"/>
      <c r="N120" s="211" t="s">
        <v>83</v>
      </c>
      <c r="O120" s="178"/>
      <c r="P120" s="177"/>
      <c r="Q120" s="211" t="s">
        <v>83</v>
      </c>
      <c r="R120" s="172" t="s">
        <v>84</v>
      </c>
      <c r="S120" s="189"/>
      <c r="T120" s="168"/>
      <c r="U120" s="168"/>
      <c r="V120" s="166" t="s">
        <v>132</v>
      </c>
      <c r="W120" s="166" t="s">
        <v>132</v>
      </c>
      <c r="X120" s="166" t="s">
        <v>132</v>
      </c>
      <c r="Y120" s="166" t="s">
        <v>132</v>
      </c>
      <c r="Z120" s="166" t="s">
        <v>132</v>
      </c>
      <c r="AA120" s="166"/>
      <c r="AB120" s="166"/>
      <c r="AC120" s="166"/>
      <c r="AD120" s="166"/>
      <c r="AE120" s="166"/>
      <c r="AF120" s="166" t="s">
        <v>132</v>
      </c>
      <c r="AG120" s="167"/>
      <c r="AH120" s="167"/>
    </row>
    <row r="121" spans="1:34" ht="15" customHeight="1">
      <c r="A121" s="166">
        <v>116</v>
      </c>
      <c r="B121" s="207" t="s">
        <v>264</v>
      </c>
      <c r="C121" s="173">
        <v>8.1</v>
      </c>
      <c r="D121" s="209" t="s">
        <v>139</v>
      </c>
      <c r="E121" s="209" t="s">
        <v>139</v>
      </c>
      <c r="F121" s="208" t="s">
        <v>135</v>
      </c>
      <c r="G121" s="211" t="s">
        <v>83</v>
      </c>
      <c r="H121" s="172" t="s">
        <v>84</v>
      </c>
      <c r="I121" s="211" t="s">
        <v>83</v>
      </c>
      <c r="J121" s="211" t="s">
        <v>83</v>
      </c>
      <c r="K121" s="211" t="s">
        <v>83</v>
      </c>
      <c r="L121" s="178"/>
      <c r="M121" s="178"/>
      <c r="N121" s="211" t="s">
        <v>83</v>
      </c>
      <c r="O121" s="178"/>
      <c r="P121" s="172" t="s">
        <v>84</v>
      </c>
      <c r="Q121" s="211" t="s">
        <v>83</v>
      </c>
      <c r="R121" s="177"/>
      <c r="S121" s="189"/>
      <c r="T121" s="168"/>
      <c r="U121" s="212" t="s">
        <v>83</v>
      </c>
      <c r="V121" s="168"/>
      <c r="W121" s="166"/>
      <c r="X121" s="166"/>
      <c r="Y121" s="166"/>
      <c r="Z121" s="166" t="s">
        <v>132</v>
      </c>
      <c r="AA121" s="166"/>
      <c r="AB121" s="166"/>
      <c r="AC121" s="166" t="s">
        <v>132</v>
      </c>
      <c r="AD121" s="166" t="s">
        <v>132</v>
      </c>
      <c r="AE121" s="166" t="s">
        <v>132</v>
      </c>
      <c r="AF121" s="166" t="s">
        <v>132</v>
      </c>
      <c r="AG121" s="167"/>
      <c r="AH121" s="167"/>
    </row>
    <row r="122" spans="1:34" ht="15" customHeight="1">
      <c r="A122" s="166">
        <v>117</v>
      </c>
      <c r="B122" s="207" t="s">
        <v>265</v>
      </c>
      <c r="C122" s="173">
        <v>8.1</v>
      </c>
      <c r="D122" s="210" t="s">
        <v>142</v>
      </c>
      <c r="E122" s="210" t="s">
        <v>142</v>
      </c>
      <c r="F122" s="208" t="s">
        <v>135</v>
      </c>
      <c r="G122" s="179"/>
      <c r="H122" s="174" t="s">
        <v>85</v>
      </c>
      <c r="I122" s="179"/>
      <c r="J122" s="178"/>
      <c r="K122" s="178"/>
      <c r="L122" s="178"/>
      <c r="M122" s="178"/>
      <c r="N122" s="178"/>
      <c r="O122" s="178"/>
      <c r="P122" s="174" t="s">
        <v>85</v>
      </c>
      <c r="Q122" s="174" t="s">
        <v>85</v>
      </c>
      <c r="R122" s="177"/>
      <c r="S122" s="189"/>
      <c r="T122" s="168"/>
      <c r="U122" s="168"/>
      <c r="V122" s="168"/>
      <c r="W122" s="166" t="s">
        <v>132</v>
      </c>
      <c r="X122" s="166"/>
      <c r="Y122" s="166"/>
      <c r="Z122" s="166"/>
      <c r="AA122" s="166"/>
      <c r="AB122" s="166"/>
      <c r="AC122" s="166" t="s">
        <v>132</v>
      </c>
      <c r="AD122" s="166"/>
      <c r="AE122" s="166"/>
      <c r="AF122" s="166"/>
      <c r="AG122" s="167"/>
      <c r="AH122" s="167"/>
    </row>
    <row r="123" spans="1:34" ht="15" customHeight="1">
      <c r="A123" s="166">
        <v>118</v>
      </c>
      <c r="B123" s="207" t="s">
        <v>266</v>
      </c>
      <c r="C123" s="173">
        <v>8.1</v>
      </c>
      <c r="D123" s="210" t="s">
        <v>145</v>
      </c>
      <c r="E123" s="209" t="s">
        <v>145</v>
      </c>
      <c r="F123" s="208" t="s">
        <v>135</v>
      </c>
      <c r="G123" s="169"/>
      <c r="H123" s="172" t="s">
        <v>84</v>
      </c>
      <c r="I123" s="172" t="s">
        <v>84</v>
      </c>
      <c r="J123" s="169"/>
      <c r="K123" s="169"/>
      <c r="L123" s="169"/>
      <c r="M123" s="172" t="s">
        <v>84</v>
      </c>
      <c r="N123" s="169"/>
      <c r="O123" s="169"/>
      <c r="P123" s="169"/>
      <c r="Q123" s="169"/>
      <c r="R123" s="169"/>
      <c r="S123" s="172" t="s">
        <v>84</v>
      </c>
      <c r="T123" s="165" t="s">
        <v>84</v>
      </c>
      <c r="U123" s="169"/>
      <c r="V123" s="166" t="s">
        <v>132</v>
      </c>
      <c r="W123" s="166"/>
      <c r="X123" s="166"/>
      <c r="Y123" s="166"/>
      <c r="Z123" s="166" t="s">
        <v>132</v>
      </c>
      <c r="AA123" s="166"/>
      <c r="AB123" s="166"/>
      <c r="AC123" s="166"/>
      <c r="AD123" s="166"/>
      <c r="AE123" s="166"/>
      <c r="AF123" s="166"/>
      <c r="AG123" s="167"/>
      <c r="AH123" s="167"/>
    </row>
    <row r="124" spans="1:34" ht="15" customHeight="1">
      <c r="A124" s="166">
        <v>119</v>
      </c>
      <c r="B124" s="207" t="s">
        <v>267</v>
      </c>
      <c r="C124" s="173">
        <v>8.1</v>
      </c>
      <c r="D124" s="210" t="s">
        <v>142</v>
      </c>
      <c r="E124" s="210" t="s">
        <v>142</v>
      </c>
      <c r="F124" s="208" t="s">
        <v>135</v>
      </c>
      <c r="G124" s="172" t="s">
        <v>84</v>
      </c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6"/>
      <c r="X124" s="166"/>
      <c r="Y124" s="166"/>
      <c r="Z124" s="166" t="s">
        <v>132</v>
      </c>
      <c r="AA124" s="166"/>
      <c r="AB124" s="166"/>
      <c r="AC124" s="166" t="s">
        <v>132</v>
      </c>
      <c r="AD124" s="166" t="s">
        <v>132</v>
      </c>
      <c r="AE124" s="166"/>
      <c r="AF124" s="166" t="s">
        <v>132</v>
      </c>
      <c r="AG124" s="167"/>
      <c r="AH124" s="167"/>
    </row>
    <row r="125" spans="1:34" ht="15" customHeight="1">
      <c r="A125" s="166">
        <v>120</v>
      </c>
      <c r="B125" s="207" t="s">
        <v>268</v>
      </c>
      <c r="C125" s="173">
        <v>8.1999999999999993</v>
      </c>
      <c r="D125" s="209" t="s">
        <v>139</v>
      </c>
      <c r="E125" s="209" t="s">
        <v>139</v>
      </c>
      <c r="F125" s="208" t="s">
        <v>135</v>
      </c>
      <c r="G125" s="169"/>
      <c r="H125" s="169"/>
      <c r="I125" s="174" t="s">
        <v>85</v>
      </c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6" t="s">
        <v>132</v>
      </c>
      <c r="W125" s="166"/>
      <c r="X125" s="166"/>
      <c r="Y125" s="166"/>
      <c r="Z125" s="166" t="s">
        <v>132</v>
      </c>
      <c r="AA125" s="166"/>
      <c r="AB125" s="166"/>
      <c r="AC125" s="166" t="s">
        <v>132</v>
      </c>
      <c r="AD125" s="166"/>
      <c r="AE125" s="166"/>
      <c r="AF125" s="166"/>
      <c r="AG125" s="167"/>
      <c r="AH125" s="167"/>
    </row>
    <row r="126" spans="1:34" ht="15" customHeight="1">
      <c r="A126" s="166">
        <v>121</v>
      </c>
      <c r="B126" s="207" t="s">
        <v>269</v>
      </c>
      <c r="C126" s="173">
        <v>8.1</v>
      </c>
      <c r="D126" s="209" t="s">
        <v>139</v>
      </c>
      <c r="E126" s="209" t="s">
        <v>139</v>
      </c>
      <c r="F126" s="208" t="s">
        <v>135</v>
      </c>
      <c r="G126" s="211" t="s">
        <v>83</v>
      </c>
      <c r="H126" s="174" t="s">
        <v>85</v>
      </c>
      <c r="I126" s="169"/>
      <c r="J126" s="169"/>
      <c r="K126" s="169"/>
      <c r="L126" s="169"/>
      <c r="M126" s="169"/>
      <c r="N126" s="169"/>
      <c r="O126" s="174" t="s">
        <v>85</v>
      </c>
      <c r="P126" s="174" t="s">
        <v>85</v>
      </c>
      <c r="Q126" s="174" t="s">
        <v>85</v>
      </c>
      <c r="R126" s="174" t="s">
        <v>85</v>
      </c>
      <c r="S126" s="169"/>
      <c r="T126" s="164" t="s">
        <v>85</v>
      </c>
      <c r="U126" s="165" t="s">
        <v>84</v>
      </c>
      <c r="V126" s="166" t="s">
        <v>132</v>
      </c>
      <c r="W126" s="166" t="s">
        <v>132</v>
      </c>
      <c r="X126" s="166" t="s">
        <v>132</v>
      </c>
      <c r="Y126" s="166"/>
      <c r="Z126" s="166" t="s">
        <v>132</v>
      </c>
      <c r="AA126" s="166"/>
      <c r="AB126" s="166"/>
      <c r="AC126" s="166" t="s">
        <v>132</v>
      </c>
      <c r="AD126" s="166"/>
      <c r="AE126" s="166"/>
      <c r="AF126" s="166"/>
      <c r="AG126" s="167"/>
      <c r="AH126" s="167"/>
    </row>
    <row r="127" spans="1:34" ht="15" customHeight="1">
      <c r="A127" s="166">
        <v>122</v>
      </c>
      <c r="B127" s="207" t="s">
        <v>270</v>
      </c>
      <c r="C127" s="173">
        <v>8.1999999999999993</v>
      </c>
      <c r="D127" s="209" t="s">
        <v>139</v>
      </c>
      <c r="E127" s="209" t="s">
        <v>139</v>
      </c>
      <c r="F127" s="208" t="s">
        <v>135</v>
      </c>
      <c r="G127" s="169"/>
      <c r="H127" s="169"/>
      <c r="I127" s="169"/>
      <c r="J127" s="169"/>
      <c r="K127" s="169"/>
      <c r="L127" s="169"/>
      <c r="M127" s="169"/>
      <c r="N127" s="169"/>
      <c r="O127" s="169"/>
      <c r="P127" s="172" t="s">
        <v>84</v>
      </c>
      <c r="Q127" s="169"/>
      <c r="R127" s="172" t="s">
        <v>84</v>
      </c>
      <c r="S127" s="169"/>
      <c r="T127" s="169"/>
      <c r="U127" s="169"/>
      <c r="V127" s="169"/>
      <c r="W127" s="166"/>
      <c r="X127" s="166"/>
      <c r="Y127" s="166"/>
      <c r="Z127" s="166" t="s">
        <v>132</v>
      </c>
      <c r="AA127" s="166"/>
      <c r="AB127" s="166"/>
      <c r="AC127" s="166" t="s">
        <v>132</v>
      </c>
      <c r="AD127" s="166" t="s">
        <v>132</v>
      </c>
      <c r="AE127" s="166"/>
      <c r="AF127" s="166" t="s">
        <v>132</v>
      </c>
      <c r="AG127" s="167"/>
      <c r="AH127" s="167"/>
    </row>
    <row r="128" spans="1:34" ht="15" customHeight="1">
      <c r="A128" s="166">
        <v>123</v>
      </c>
      <c r="B128" s="207" t="s">
        <v>271</v>
      </c>
      <c r="C128" s="173">
        <v>8.1999999999999993</v>
      </c>
      <c r="D128" s="209" t="s">
        <v>139</v>
      </c>
      <c r="E128" s="209" t="s">
        <v>139</v>
      </c>
      <c r="F128" s="208" t="s">
        <v>135</v>
      </c>
      <c r="G128" s="174" t="s">
        <v>85</v>
      </c>
      <c r="H128" s="174" t="s">
        <v>85</v>
      </c>
      <c r="I128" s="172" t="s">
        <v>84</v>
      </c>
      <c r="J128" s="169"/>
      <c r="K128" s="172" t="s">
        <v>84</v>
      </c>
      <c r="L128" s="169"/>
      <c r="M128" s="172" t="s">
        <v>84</v>
      </c>
      <c r="N128" s="169"/>
      <c r="O128" s="169"/>
      <c r="P128" s="211" t="s">
        <v>83</v>
      </c>
      <c r="Q128" s="169"/>
      <c r="R128" s="211" t="s">
        <v>83</v>
      </c>
      <c r="S128" s="169"/>
      <c r="T128" s="169"/>
      <c r="U128" s="169"/>
      <c r="V128" s="166" t="s">
        <v>132</v>
      </c>
      <c r="W128" s="166"/>
      <c r="X128" s="166"/>
      <c r="Y128" s="166"/>
      <c r="Z128" s="166" t="s">
        <v>132</v>
      </c>
      <c r="AA128" s="166"/>
      <c r="AB128" s="166"/>
      <c r="AC128" s="166" t="s">
        <v>132</v>
      </c>
      <c r="AD128" s="166" t="s">
        <v>132</v>
      </c>
      <c r="AE128" s="166" t="s">
        <v>132</v>
      </c>
      <c r="AF128" s="166"/>
      <c r="AG128" s="167"/>
      <c r="AH128" s="167"/>
    </row>
    <row r="129" spans="1:34" ht="15" customHeight="1">
      <c r="A129" s="166">
        <v>124</v>
      </c>
      <c r="B129" s="207" t="s">
        <v>272</v>
      </c>
      <c r="C129" s="173">
        <v>8.1</v>
      </c>
      <c r="D129" s="210" t="s">
        <v>142</v>
      </c>
      <c r="E129" s="210" t="s">
        <v>142</v>
      </c>
      <c r="F129" s="173" t="s">
        <v>131</v>
      </c>
      <c r="G129" s="169"/>
      <c r="H129" s="172" t="s">
        <v>84</v>
      </c>
      <c r="I129" s="169"/>
      <c r="J129" s="169"/>
      <c r="K129" s="169"/>
      <c r="L129" s="169"/>
      <c r="M129" s="172" t="s">
        <v>84</v>
      </c>
      <c r="N129" s="169"/>
      <c r="O129" s="169"/>
      <c r="P129" s="174" t="s">
        <v>85</v>
      </c>
      <c r="Q129" s="169"/>
      <c r="R129" s="174" t="s">
        <v>85</v>
      </c>
      <c r="S129" s="169"/>
      <c r="T129" s="169"/>
      <c r="U129" s="169"/>
      <c r="V129" s="169"/>
      <c r="W129" s="166" t="s">
        <v>132</v>
      </c>
      <c r="X129" s="166"/>
      <c r="Y129" s="166"/>
      <c r="Z129" s="166" t="s">
        <v>132</v>
      </c>
      <c r="AA129" s="166"/>
      <c r="AB129" s="166"/>
      <c r="AC129" s="166"/>
      <c r="AD129" s="166"/>
      <c r="AE129" s="166"/>
      <c r="AF129" s="166" t="s">
        <v>132</v>
      </c>
      <c r="AG129" s="167"/>
      <c r="AH129" s="167"/>
    </row>
    <row r="130" spans="1:34" ht="15" customHeight="1">
      <c r="A130" s="166">
        <v>125</v>
      </c>
      <c r="B130" s="207" t="s">
        <v>273</v>
      </c>
      <c r="C130" s="173">
        <v>8.1</v>
      </c>
      <c r="D130" s="210" t="s">
        <v>142</v>
      </c>
      <c r="E130" s="210" t="s">
        <v>142</v>
      </c>
      <c r="F130" s="208" t="s">
        <v>135</v>
      </c>
      <c r="G130" s="211" t="s">
        <v>83</v>
      </c>
      <c r="H130" s="169"/>
      <c r="I130" s="169"/>
      <c r="J130" s="169"/>
      <c r="K130" s="211" t="s">
        <v>83</v>
      </c>
      <c r="L130" s="169"/>
      <c r="M130" s="211" t="s">
        <v>83</v>
      </c>
      <c r="N130" s="169"/>
      <c r="O130" s="172" t="s">
        <v>84</v>
      </c>
      <c r="P130" s="169"/>
      <c r="Q130" s="172" t="s">
        <v>84</v>
      </c>
      <c r="R130" s="211" t="s">
        <v>83</v>
      </c>
      <c r="S130" s="169"/>
      <c r="T130" s="169"/>
      <c r="U130" s="169"/>
      <c r="V130" s="166" t="s">
        <v>132</v>
      </c>
      <c r="W130" s="166"/>
      <c r="X130" s="166"/>
      <c r="Y130" s="166" t="s">
        <v>132</v>
      </c>
      <c r="Z130" s="166" t="s">
        <v>132</v>
      </c>
      <c r="AA130" s="166"/>
      <c r="AB130" s="166"/>
      <c r="AC130" s="166" t="s">
        <v>132</v>
      </c>
      <c r="AD130" s="166"/>
      <c r="AE130" s="166" t="s">
        <v>132</v>
      </c>
      <c r="AF130" s="166"/>
      <c r="AG130" s="167"/>
      <c r="AH130" s="167"/>
    </row>
    <row r="131" spans="1:34" ht="15" customHeight="1">
      <c r="A131" s="166">
        <v>126</v>
      </c>
      <c r="B131" s="207" t="s">
        <v>274</v>
      </c>
      <c r="C131" s="173">
        <v>8.1</v>
      </c>
      <c r="D131" s="210" t="s">
        <v>142</v>
      </c>
      <c r="E131" s="210" t="s">
        <v>142</v>
      </c>
      <c r="F131" s="208" t="s">
        <v>135</v>
      </c>
      <c r="G131" s="172" t="s">
        <v>84</v>
      </c>
      <c r="H131" s="172" t="s">
        <v>84</v>
      </c>
      <c r="I131" s="169"/>
      <c r="J131" s="169"/>
      <c r="K131" s="211" t="s">
        <v>83</v>
      </c>
      <c r="L131" s="169"/>
      <c r="M131" s="169"/>
      <c r="N131" s="169"/>
      <c r="O131" s="169"/>
      <c r="P131" s="174" t="s">
        <v>85</v>
      </c>
      <c r="Q131" s="169"/>
      <c r="R131" s="174" t="s">
        <v>85</v>
      </c>
      <c r="S131" s="169"/>
      <c r="T131" s="169"/>
      <c r="U131" s="169"/>
      <c r="V131" s="169"/>
      <c r="W131" s="166"/>
      <c r="X131" s="166"/>
      <c r="Y131" s="166" t="s">
        <v>132</v>
      </c>
      <c r="Z131" s="166" t="s">
        <v>132</v>
      </c>
      <c r="AA131" s="166" t="s">
        <v>132</v>
      </c>
      <c r="AB131" s="166"/>
      <c r="AC131" s="166" t="s">
        <v>132</v>
      </c>
      <c r="AD131" s="166" t="s">
        <v>132</v>
      </c>
      <c r="AE131" s="166"/>
      <c r="AF131" s="166"/>
      <c r="AG131" s="167"/>
      <c r="AH131" s="167"/>
    </row>
    <row r="132" spans="1:34" ht="15" customHeight="1">
      <c r="A132" s="166">
        <v>127</v>
      </c>
      <c r="B132" s="207" t="s">
        <v>275</v>
      </c>
      <c r="C132" s="173">
        <v>8.1</v>
      </c>
      <c r="D132" s="209" t="s">
        <v>139</v>
      </c>
      <c r="E132" s="209" t="s">
        <v>139</v>
      </c>
      <c r="F132" s="208" t="s">
        <v>135</v>
      </c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74" t="s">
        <v>85</v>
      </c>
      <c r="S132" s="169"/>
      <c r="T132" s="169"/>
      <c r="U132" s="169"/>
      <c r="V132" s="169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7"/>
      <c r="AH132" s="167"/>
    </row>
    <row r="133" spans="1:34" ht="15" customHeight="1">
      <c r="A133" s="166">
        <v>128</v>
      </c>
      <c r="B133" s="207" t="s">
        <v>276</v>
      </c>
      <c r="C133" s="173">
        <v>6</v>
      </c>
      <c r="D133" s="210" t="s">
        <v>134</v>
      </c>
      <c r="E133" s="209" t="s">
        <v>129</v>
      </c>
      <c r="F133" s="173" t="s">
        <v>131</v>
      </c>
      <c r="G133" s="169"/>
      <c r="H133" s="174" t="s">
        <v>85</v>
      </c>
      <c r="I133" s="174" t="s">
        <v>85</v>
      </c>
      <c r="J133" s="169"/>
      <c r="K133" s="174" t="s">
        <v>85</v>
      </c>
      <c r="L133" s="174" t="s">
        <v>85</v>
      </c>
      <c r="M133" s="169"/>
      <c r="N133" s="169"/>
      <c r="O133" s="174" t="s">
        <v>85</v>
      </c>
      <c r="P133" s="169"/>
      <c r="Q133" s="174" t="s">
        <v>85</v>
      </c>
      <c r="R133" s="174" t="s">
        <v>85</v>
      </c>
      <c r="S133" s="169"/>
      <c r="T133" s="169"/>
      <c r="U133" s="169"/>
      <c r="V133" s="169"/>
      <c r="W133" s="166"/>
      <c r="X133" s="166"/>
      <c r="Y133" s="166"/>
      <c r="Z133" s="166" t="s">
        <v>132</v>
      </c>
      <c r="AA133" s="166" t="s">
        <v>277</v>
      </c>
      <c r="AB133" s="166" t="s">
        <v>132</v>
      </c>
      <c r="AC133" s="166"/>
      <c r="AD133" s="166"/>
      <c r="AE133" s="166"/>
      <c r="AF133" s="166"/>
      <c r="AG133" s="167" t="s">
        <v>278</v>
      </c>
      <c r="AH133" s="167"/>
    </row>
    <row r="134" spans="1:34" ht="15" customHeight="1">
      <c r="A134" s="166">
        <v>129</v>
      </c>
      <c r="B134" s="207" t="s">
        <v>279</v>
      </c>
      <c r="C134" s="173">
        <v>5</v>
      </c>
      <c r="D134" s="210" t="s">
        <v>134</v>
      </c>
      <c r="E134" s="209" t="s">
        <v>129</v>
      </c>
      <c r="F134" s="173" t="s">
        <v>131</v>
      </c>
      <c r="G134" s="173"/>
      <c r="H134" s="174" t="s">
        <v>85</v>
      </c>
      <c r="I134" s="173"/>
      <c r="J134" s="173"/>
      <c r="K134" s="173"/>
      <c r="L134" s="173"/>
      <c r="M134" s="173"/>
      <c r="N134" s="173"/>
      <c r="O134" s="173"/>
      <c r="P134" s="174" t="s">
        <v>85</v>
      </c>
      <c r="Q134" s="173"/>
      <c r="R134" s="173"/>
      <c r="S134" s="173"/>
      <c r="T134" s="166"/>
      <c r="U134" s="166"/>
      <c r="V134" s="166"/>
      <c r="W134" s="166" t="s">
        <v>132</v>
      </c>
      <c r="X134" s="166" t="s">
        <v>132</v>
      </c>
      <c r="Y134" s="166" t="s">
        <v>132</v>
      </c>
      <c r="Z134" s="166" t="s">
        <v>132</v>
      </c>
      <c r="AA134" s="166" t="s">
        <v>132</v>
      </c>
      <c r="AB134" s="166" t="s">
        <v>132</v>
      </c>
      <c r="AC134" s="166" t="s">
        <v>132</v>
      </c>
      <c r="AD134" s="166"/>
      <c r="AE134" s="166"/>
      <c r="AF134" s="166"/>
      <c r="AG134" s="166" t="s">
        <v>280</v>
      </c>
      <c r="AH134" s="167"/>
    </row>
    <row r="135" spans="1:34" ht="15" customHeight="1">
      <c r="A135" s="166">
        <v>130</v>
      </c>
      <c r="B135" s="207" t="s">
        <v>281</v>
      </c>
      <c r="C135" s="173">
        <v>8.1</v>
      </c>
      <c r="D135" s="210" t="s">
        <v>142</v>
      </c>
      <c r="E135" s="210" t="s">
        <v>142</v>
      </c>
      <c r="F135" s="173" t="s">
        <v>135</v>
      </c>
      <c r="G135" s="172" t="s">
        <v>84</v>
      </c>
      <c r="H135" s="173"/>
      <c r="I135" s="173"/>
      <c r="J135" s="173"/>
      <c r="K135" s="173"/>
      <c r="L135" s="173"/>
      <c r="M135" s="173"/>
      <c r="N135" s="173"/>
      <c r="O135" s="172" t="s">
        <v>84</v>
      </c>
      <c r="P135" s="173"/>
      <c r="Q135" s="173"/>
      <c r="R135" s="172" t="s">
        <v>84</v>
      </c>
      <c r="S135" s="172" t="s">
        <v>84</v>
      </c>
      <c r="T135" s="166"/>
      <c r="U135" s="166"/>
      <c r="V135" s="166"/>
      <c r="W135" s="166"/>
      <c r="X135" s="166"/>
      <c r="Y135" s="166"/>
      <c r="Z135" s="166" t="s">
        <v>132</v>
      </c>
      <c r="AA135" s="166"/>
      <c r="AB135" s="166"/>
      <c r="AC135" s="166"/>
      <c r="AD135" s="166"/>
      <c r="AE135" s="166"/>
      <c r="AF135" s="166"/>
      <c r="AG135" s="167"/>
      <c r="AH135" s="167"/>
    </row>
    <row r="136" spans="1:34" ht="15" customHeight="1">
      <c r="A136" s="166">
        <v>131</v>
      </c>
      <c r="B136" s="207" t="s">
        <v>282</v>
      </c>
      <c r="C136" s="173">
        <v>8.1</v>
      </c>
      <c r="D136" s="209" t="s">
        <v>139</v>
      </c>
      <c r="E136" s="209" t="s">
        <v>139</v>
      </c>
      <c r="F136" s="173" t="s">
        <v>135</v>
      </c>
      <c r="G136" s="173"/>
      <c r="H136" s="173"/>
      <c r="I136" s="172" t="s">
        <v>84</v>
      </c>
      <c r="J136" s="173"/>
      <c r="K136" s="173"/>
      <c r="L136" s="173"/>
      <c r="M136" s="173"/>
      <c r="N136" s="173"/>
      <c r="O136" s="173"/>
      <c r="P136" s="172" t="s">
        <v>84</v>
      </c>
      <c r="Q136" s="173"/>
      <c r="R136" s="173"/>
      <c r="S136" s="173"/>
      <c r="T136" s="166"/>
      <c r="U136" s="166"/>
      <c r="V136" s="166"/>
      <c r="W136" s="166"/>
      <c r="X136" s="166"/>
      <c r="Y136" s="166"/>
      <c r="Z136" s="166" t="s">
        <v>132</v>
      </c>
      <c r="AA136" s="166"/>
      <c r="AB136" s="166"/>
      <c r="AC136" s="166" t="s">
        <v>132</v>
      </c>
      <c r="AD136" s="166"/>
      <c r="AE136" s="166"/>
      <c r="AF136" s="166"/>
      <c r="AG136" s="167"/>
      <c r="AH136" s="167"/>
    </row>
    <row r="137" spans="1:34" ht="15" customHeight="1">
      <c r="A137" s="166">
        <v>132</v>
      </c>
      <c r="B137" s="207" t="s">
        <v>283</v>
      </c>
      <c r="C137" s="173">
        <v>8.1</v>
      </c>
      <c r="D137" s="210" t="s">
        <v>142</v>
      </c>
      <c r="E137" s="210" t="s">
        <v>142</v>
      </c>
      <c r="F137" s="173" t="s">
        <v>135</v>
      </c>
      <c r="G137" s="172" t="s">
        <v>84</v>
      </c>
      <c r="H137" s="211" t="s">
        <v>83</v>
      </c>
      <c r="I137" s="211" t="s">
        <v>83</v>
      </c>
      <c r="J137" s="173"/>
      <c r="K137" s="211" t="s">
        <v>83</v>
      </c>
      <c r="L137" s="173"/>
      <c r="M137" s="211" t="s">
        <v>83</v>
      </c>
      <c r="N137" s="173"/>
      <c r="O137" s="173"/>
      <c r="P137" s="173"/>
      <c r="Q137" s="173"/>
      <c r="R137" s="173"/>
      <c r="S137" s="173"/>
      <c r="T137" s="166"/>
      <c r="U137" s="166"/>
      <c r="V137" s="166"/>
      <c r="W137" s="166"/>
      <c r="X137" s="166"/>
      <c r="Y137" s="166"/>
      <c r="Z137" s="166" t="s">
        <v>132</v>
      </c>
      <c r="AA137" s="166"/>
      <c r="AB137" s="166"/>
      <c r="AC137" s="166" t="s">
        <v>132</v>
      </c>
      <c r="AD137" s="166"/>
      <c r="AE137" s="166"/>
      <c r="AF137" s="166"/>
      <c r="AG137" s="167"/>
      <c r="AH137" s="167"/>
    </row>
    <row r="138" spans="1:34" ht="15" customHeight="1">
      <c r="A138" s="166">
        <v>133</v>
      </c>
      <c r="B138" s="207" t="s">
        <v>284</v>
      </c>
      <c r="C138" s="173">
        <v>8.1</v>
      </c>
      <c r="D138" s="210" t="s">
        <v>142</v>
      </c>
      <c r="E138" s="210" t="s">
        <v>142</v>
      </c>
      <c r="F138" s="173" t="s">
        <v>135</v>
      </c>
      <c r="G138" s="173"/>
      <c r="H138" s="172" t="s">
        <v>84</v>
      </c>
      <c r="I138" s="173"/>
      <c r="J138" s="173"/>
      <c r="K138" s="172" t="s">
        <v>84</v>
      </c>
      <c r="L138" s="173"/>
      <c r="M138" s="211" t="s">
        <v>83</v>
      </c>
      <c r="N138" s="173"/>
      <c r="O138" s="173"/>
      <c r="P138" s="173"/>
      <c r="Q138" s="173"/>
      <c r="R138" s="173"/>
      <c r="S138" s="173"/>
      <c r="T138" s="166"/>
      <c r="U138" s="166"/>
      <c r="V138" s="166"/>
      <c r="W138" s="166"/>
      <c r="X138" s="166"/>
      <c r="Y138" s="166"/>
      <c r="Z138" s="166" t="s">
        <v>132</v>
      </c>
      <c r="AA138" s="166"/>
      <c r="AB138" s="166"/>
      <c r="AC138" s="166" t="s">
        <v>132</v>
      </c>
      <c r="AD138" s="166"/>
      <c r="AE138" s="166"/>
      <c r="AF138" s="166"/>
      <c r="AG138" s="167"/>
      <c r="AH138" s="167"/>
    </row>
    <row r="139" spans="1:34" ht="15" customHeight="1">
      <c r="A139" s="166">
        <v>134</v>
      </c>
      <c r="B139" s="207" t="s">
        <v>285</v>
      </c>
      <c r="C139" s="173">
        <v>8.1</v>
      </c>
      <c r="D139" s="210" t="s">
        <v>142</v>
      </c>
      <c r="E139" s="210" t="s">
        <v>142</v>
      </c>
      <c r="F139" s="173" t="s">
        <v>135</v>
      </c>
      <c r="G139" s="172" t="s">
        <v>84</v>
      </c>
      <c r="H139" s="172" t="s">
        <v>84</v>
      </c>
      <c r="I139" s="211" t="s">
        <v>83</v>
      </c>
      <c r="J139" s="173"/>
      <c r="K139" s="211" t="s">
        <v>83</v>
      </c>
      <c r="L139" s="173"/>
      <c r="M139" s="211" t="s">
        <v>83</v>
      </c>
      <c r="N139" s="211" t="s">
        <v>83</v>
      </c>
      <c r="O139" s="172" t="s">
        <v>84</v>
      </c>
      <c r="P139" s="211" t="s">
        <v>83</v>
      </c>
      <c r="Q139" s="211" t="s">
        <v>83</v>
      </c>
      <c r="R139" s="172" t="s">
        <v>84</v>
      </c>
      <c r="S139" s="173"/>
      <c r="T139" s="166"/>
      <c r="U139" s="166"/>
      <c r="V139" s="166"/>
      <c r="W139" s="166" t="s">
        <v>132</v>
      </c>
      <c r="X139" s="166"/>
      <c r="Y139" s="166"/>
      <c r="Z139" s="166" t="s">
        <v>132</v>
      </c>
      <c r="AA139" s="166"/>
      <c r="AB139" s="166"/>
      <c r="AC139" s="166" t="s">
        <v>132</v>
      </c>
      <c r="AD139" s="166"/>
      <c r="AE139" s="166" t="s">
        <v>132</v>
      </c>
      <c r="AF139" s="166"/>
      <c r="AG139" s="167"/>
      <c r="AH139" s="167"/>
    </row>
    <row r="140" spans="1:34" ht="15" customHeight="1">
      <c r="A140" s="166">
        <v>135</v>
      </c>
      <c r="B140" s="207" t="s">
        <v>286</v>
      </c>
      <c r="C140" s="173">
        <v>6</v>
      </c>
      <c r="D140" s="210" t="s">
        <v>134</v>
      </c>
      <c r="E140" s="209" t="s">
        <v>145</v>
      </c>
      <c r="F140" s="173" t="s">
        <v>131</v>
      </c>
      <c r="G140" s="172" t="s">
        <v>84</v>
      </c>
      <c r="H140" s="172" t="s">
        <v>84</v>
      </c>
      <c r="I140" s="211" t="s">
        <v>83</v>
      </c>
      <c r="J140" s="173"/>
      <c r="K140" s="211" t="s">
        <v>83</v>
      </c>
      <c r="L140" s="211" t="s">
        <v>83</v>
      </c>
      <c r="M140" s="211" t="s">
        <v>83</v>
      </c>
      <c r="N140" s="173"/>
      <c r="O140" s="173"/>
      <c r="P140" s="173"/>
      <c r="Q140" s="173"/>
      <c r="R140" s="172" t="s">
        <v>84</v>
      </c>
      <c r="S140" s="211" t="s">
        <v>83</v>
      </c>
      <c r="T140" s="212" t="s">
        <v>83</v>
      </c>
      <c r="U140" s="166"/>
      <c r="V140" s="166" t="s">
        <v>132</v>
      </c>
      <c r="W140" s="166" t="s">
        <v>132</v>
      </c>
      <c r="X140" s="166"/>
      <c r="Y140" s="166" t="s">
        <v>132</v>
      </c>
      <c r="Z140" s="166" t="s">
        <v>132</v>
      </c>
      <c r="AA140" s="166"/>
      <c r="AB140" s="166" t="s">
        <v>132</v>
      </c>
      <c r="AC140" s="166" t="s">
        <v>132</v>
      </c>
      <c r="AD140" s="166"/>
      <c r="AE140" s="166"/>
      <c r="AF140" s="166"/>
      <c r="AG140" s="167"/>
      <c r="AH140" s="167"/>
    </row>
    <row r="141" spans="1:34" ht="15" customHeight="1">
      <c r="A141" s="166">
        <v>136</v>
      </c>
      <c r="B141" s="207" t="s">
        <v>287</v>
      </c>
      <c r="C141" s="173">
        <v>8.1</v>
      </c>
      <c r="D141" s="209" t="s">
        <v>139</v>
      </c>
      <c r="E141" s="209" t="s">
        <v>139</v>
      </c>
      <c r="F141" s="173" t="s">
        <v>288</v>
      </c>
      <c r="G141" s="173"/>
      <c r="H141" s="172" t="s">
        <v>84</v>
      </c>
      <c r="I141" s="173"/>
      <c r="J141" s="173"/>
      <c r="K141" s="211" t="s">
        <v>83</v>
      </c>
      <c r="L141" s="173"/>
      <c r="M141" s="173"/>
      <c r="N141" s="173"/>
      <c r="O141" s="173"/>
      <c r="P141" s="173"/>
      <c r="Q141" s="173"/>
      <c r="R141" s="173"/>
      <c r="S141" s="173"/>
      <c r="T141" s="166"/>
      <c r="U141" s="166"/>
      <c r="V141" s="166"/>
      <c r="W141" s="166"/>
      <c r="X141" s="166"/>
      <c r="Y141" s="166"/>
      <c r="Z141" s="166" t="s">
        <v>132</v>
      </c>
      <c r="AA141" s="166"/>
      <c r="AB141" s="166"/>
      <c r="AC141" s="166" t="s">
        <v>132</v>
      </c>
      <c r="AD141" s="166"/>
      <c r="AE141" s="166" t="s">
        <v>132</v>
      </c>
      <c r="AF141" s="166"/>
      <c r="AG141" s="167"/>
      <c r="AH141" s="167"/>
    </row>
    <row r="142" spans="1:34" ht="15" customHeight="1">
      <c r="A142" s="166">
        <v>137</v>
      </c>
      <c r="B142" s="213" t="s">
        <v>289</v>
      </c>
      <c r="C142" s="173">
        <v>8.1999999999999993</v>
      </c>
      <c r="D142" s="209" t="s">
        <v>134</v>
      </c>
      <c r="E142" s="209" t="s">
        <v>129</v>
      </c>
      <c r="F142" s="173" t="s">
        <v>155</v>
      </c>
      <c r="G142" s="174" t="s">
        <v>85</v>
      </c>
      <c r="H142" s="172" t="s">
        <v>84</v>
      </c>
      <c r="I142" s="173"/>
      <c r="J142" s="173"/>
      <c r="K142" s="172" t="s">
        <v>84</v>
      </c>
      <c r="L142" s="172" t="s">
        <v>84</v>
      </c>
      <c r="M142" s="172" t="s">
        <v>84</v>
      </c>
      <c r="N142" s="173"/>
      <c r="O142" s="172" t="s">
        <v>84</v>
      </c>
      <c r="P142" s="173"/>
      <c r="Q142" s="174" t="s">
        <v>85</v>
      </c>
      <c r="R142" s="174" t="s">
        <v>85</v>
      </c>
      <c r="S142" s="174" t="s">
        <v>85</v>
      </c>
      <c r="T142" s="164" t="s">
        <v>85</v>
      </c>
      <c r="U142" s="174" t="s">
        <v>85</v>
      </c>
      <c r="V142" s="166" t="s">
        <v>132</v>
      </c>
      <c r="W142" s="173"/>
      <c r="X142" s="173"/>
      <c r="Y142" s="173"/>
      <c r="Z142" s="166" t="s">
        <v>132</v>
      </c>
      <c r="AA142" s="173"/>
      <c r="AB142" s="173"/>
      <c r="AC142" s="173"/>
      <c r="AD142" s="173"/>
      <c r="AE142" s="173"/>
      <c r="AF142" s="173"/>
      <c r="AG142" s="214"/>
      <c r="AH142" s="214"/>
    </row>
    <row r="143" spans="1:34" ht="15" customHeight="1">
      <c r="A143" s="166">
        <v>138</v>
      </c>
      <c r="B143" s="213" t="s">
        <v>290</v>
      </c>
      <c r="C143" s="173">
        <v>6</v>
      </c>
      <c r="D143" s="209" t="s">
        <v>134</v>
      </c>
      <c r="E143" s="209" t="s">
        <v>134</v>
      </c>
      <c r="F143" s="173" t="s">
        <v>135</v>
      </c>
      <c r="G143" s="172" t="s">
        <v>84</v>
      </c>
      <c r="H143" s="174" t="s">
        <v>85</v>
      </c>
      <c r="I143" s="174" t="s">
        <v>85</v>
      </c>
      <c r="J143" s="173"/>
      <c r="K143" s="174" t="s">
        <v>85</v>
      </c>
      <c r="L143" s="173"/>
      <c r="M143" s="174" t="s">
        <v>85</v>
      </c>
      <c r="N143" s="211" t="s">
        <v>83</v>
      </c>
      <c r="O143" s="174" t="s">
        <v>85</v>
      </c>
      <c r="P143" s="172" t="s">
        <v>84</v>
      </c>
      <c r="Q143" s="174" t="s">
        <v>85</v>
      </c>
      <c r="R143" s="174" t="s">
        <v>85</v>
      </c>
      <c r="S143" s="173"/>
      <c r="T143" s="164" t="s">
        <v>85</v>
      </c>
      <c r="U143" s="173"/>
      <c r="V143" s="166" t="s">
        <v>132</v>
      </c>
      <c r="W143" s="173" t="s">
        <v>132</v>
      </c>
      <c r="X143" s="173" t="s">
        <v>132</v>
      </c>
      <c r="Y143" s="173" t="s">
        <v>132</v>
      </c>
      <c r="Z143" s="173" t="s">
        <v>132</v>
      </c>
      <c r="AA143" s="173"/>
      <c r="AB143" s="173" t="s">
        <v>132</v>
      </c>
      <c r="AC143" s="166" t="s">
        <v>132</v>
      </c>
      <c r="AD143" s="173"/>
      <c r="AE143" s="166" t="s">
        <v>132</v>
      </c>
      <c r="AF143" s="166" t="s">
        <v>132</v>
      </c>
      <c r="AG143" s="214"/>
      <c r="AH143" s="214"/>
    </row>
    <row r="144" spans="1:34" ht="15" customHeight="1">
      <c r="A144" s="166">
        <v>139</v>
      </c>
      <c r="B144" s="213" t="s">
        <v>291</v>
      </c>
      <c r="C144" s="173">
        <v>6</v>
      </c>
      <c r="D144" s="209" t="s">
        <v>134</v>
      </c>
      <c r="E144" s="209" t="s">
        <v>134</v>
      </c>
      <c r="F144" s="173" t="s">
        <v>135</v>
      </c>
      <c r="G144" s="173"/>
      <c r="H144" s="172"/>
      <c r="I144" s="173"/>
      <c r="J144" s="173"/>
      <c r="K144" s="211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  <c r="AG144" s="214"/>
      <c r="AH144" s="214"/>
    </row>
    <row r="145" spans="1:34" ht="15" customHeight="1">
      <c r="A145" s="166">
        <v>140</v>
      </c>
      <c r="B145" s="213" t="s">
        <v>292</v>
      </c>
      <c r="C145" s="173">
        <v>6</v>
      </c>
      <c r="D145" s="209" t="s">
        <v>134</v>
      </c>
      <c r="E145" s="209" t="s">
        <v>134</v>
      </c>
      <c r="F145" s="173" t="s">
        <v>135</v>
      </c>
      <c r="G145" s="173"/>
      <c r="H145" s="172"/>
      <c r="I145" s="173"/>
      <c r="J145" s="173"/>
      <c r="K145" s="174" t="s">
        <v>85</v>
      </c>
      <c r="L145" s="174" t="s">
        <v>85</v>
      </c>
      <c r="M145" s="174" t="s">
        <v>85</v>
      </c>
      <c r="N145" s="173"/>
      <c r="O145" s="173"/>
      <c r="P145" s="173"/>
      <c r="Q145" s="174" t="s">
        <v>85</v>
      </c>
      <c r="R145" s="174" t="s">
        <v>85</v>
      </c>
      <c r="S145" s="173"/>
      <c r="T145" s="165" t="s">
        <v>84</v>
      </c>
      <c r="U145" s="173"/>
      <c r="V145" s="173"/>
      <c r="W145" s="173"/>
      <c r="X145" s="173"/>
      <c r="Y145" s="173"/>
      <c r="Z145" s="173" t="s">
        <v>132</v>
      </c>
      <c r="AA145" s="173"/>
      <c r="AB145" s="173" t="s">
        <v>132</v>
      </c>
      <c r="AC145" s="166" t="s">
        <v>132</v>
      </c>
      <c r="AD145" s="173"/>
      <c r="AE145" s="173"/>
      <c r="AF145" s="166" t="s">
        <v>132</v>
      </c>
      <c r="AG145" s="166" t="s">
        <v>293</v>
      </c>
      <c r="AH145" s="214"/>
    </row>
    <row r="146" spans="1:34" ht="15" customHeight="1">
      <c r="A146" s="166">
        <v>141</v>
      </c>
      <c r="B146" s="213" t="s">
        <v>294</v>
      </c>
      <c r="C146" s="173">
        <v>7.2</v>
      </c>
      <c r="D146" s="209" t="s">
        <v>130</v>
      </c>
      <c r="E146" s="209" t="s">
        <v>130</v>
      </c>
      <c r="F146" s="173" t="s">
        <v>135</v>
      </c>
      <c r="G146" s="174" t="s">
        <v>85</v>
      </c>
      <c r="H146" s="174" t="s">
        <v>85</v>
      </c>
      <c r="I146" s="174" t="s">
        <v>85</v>
      </c>
      <c r="J146" s="174" t="s">
        <v>85</v>
      </c>
      <c r="K146" s="174" t="s">
        <v>85</v>
      </c>
      <c r="L146" s="174" t="s">
        <v>85</v>
      </c>
      <c r="M146" s="174" t="s">
        <v>85</v>
      </c>
      <c r="N146" s="174" t="s">
        <v>85</v>
      </c>
      <c r="O146" s="172" t="s">
        <v>84</v>
      </c>
      <c r="P146" s="211"/>
      <c r="Q146" s="172" t="s">
        <v>84</v>
      </c>
      <c r="R146" s="174" t="s">
        <v>85</v>
      </c>
      <c r="S146" s="173"/>
      <c r="T146" s="172"/>
      <c r="U146" s="173"/>
      <c r="V146" s="166" t="s">
        <v>132</v>
      </c>
      <c r="W146" s="173"/>
      <c r="X146" s="173"/>
      <c r="Y146" s="173" t="s">
        <v>132</v>
      </c>
      <c r="Z146" s="173" t="s">
        <v>132</v>
      </c>
      <c r="AA146" s="173" t="s">
        <v>132</v>
      </c>
      <c r="AB146" s="173"/>
      <c r="AC146" s="166" t="s">
        <v>132</v>
      </c>
      <c r="AD146" s="166" t="s">
        <v>132</v>
      </c>
      <c r="AE146" s="166" t="s">
        <v>132</v>
      </c>
      <c r="AF146" s="173"/>
      <c r="AG146" s="166"/>
      <c r="AH146" s="214"/>
    </row>
    <row r="147" spans="1:34" ht="15" customHeight="1">
      <c r="A147" s="166">
        <v>142</v>
      </c>
      <c r="B147" s="213" t="s">
        <v>295</v>
      </c>
      <c r="C147" s="173">
        <v>7.1</v>
      </c>
      <c r="D147" s="209" t="s">
        <v>129</v>
      </c>
      <c r="E147" s="209" t="s">
        <v>129</v>
      </c>
      <c r="F147" s="173" t="s">
        <v>135</v>
      </c>
      <c r="G147" s="172" t="s">
        <v>84</v>
      </c>
      <c r="H147" s="172" t="s">
        <v>84</v>
      </c>
      <c r="I147" s="172" t="s">
        <v>84</v>
      </c>
      <c r="J147" s="172"/>
      <c r="K147" s="172" t="s">
        <v>84</v>
      </c>
      <c r="L147" s="174"/>
      <c r="M147" s="211" t="s">
        <v>83</v>
      </c>
      <c r="N147" s="173"/>
      <c r="O147" s="211" t="s">
        <v>83</v>
      </c>
      <c r="P147" s="172" t="s">
        <v>84</v>
      </c>
      <c r="Q147" s="174" t="s">
        <v>85</v>
      </c>
      <c r="R147" s="172" t="s">
        <v>84</v>
      </c>
      <c r="S147" s="174" t="s">
        <v>85</v>
      </c>
      <c r="T147" s="172"/>
      <c r="U147" s="165" t="s">
        <v>84</v>
      </c>
      <c r="V147" s="173"/>
      <c r="W147" s="173"/>
      <c r="X147" s="173"/>
      <c r="Y147" s="173"/>
      <c r="Z147" s="173" t="s">
        <v>132</v>
      </c>
      <c r="AA147" s="173" t="s">
        <v>132</v>
      </c>
      <c r="AB147" s="173"/>
      <c r="AC147" s="173"/>
      <c r="AD147" s="173"/>
      <c r="AE147" s="173"/>
      <c r="AF147" s="166" t="s">
        <v>132</v>
      </c>
      <c r="AG147" s="166"/>
      <c r="AH147" s="214"/>
    </row>
    <row r="148" spans="1:34" ht="15" customHeight="1">
      <c r="A148" s="166">
        <v>143</v>
      </c>
      <c r="B148" s="213" t="s">
        <v>296</v>
      </c>
      <c r="C148" s="173">
        <v>8.1999999999999993</v>
      </c>
      <c r="D148" s="209" t="s">
        <v>137</v>
      </c>
      <c r="E148" s="209" t="s">
        <v>137</v>
      </c>
      <c r="F148" s="173" t="s">
        <v>135</v>
      </c>
      <c r="G148" s="174" t="s">
        <v>85</v>
      </c>
      <c r="H148" s="174" t="s">
        <v>85</v>
      </c>
      <c r="I148" s="174" t="s">
        <v>85</v>
      </c>
      <c r="J148" s="173"/>
      <c r="K148" s="174" t="s">
        <v>85</v>
      </c>
      <c r="L148" s="174" t="s">
        <v>85</v>
      </c>
      <c r="M148" s="174" t="s">
        <v>85</v>
      </c>
      <c r="N148" s="211" t="s">
        <v>83</v>
      </c>
      <c r="O148" s="174" t="s">
        <v>85</v>
      </c>
      <c r="P148" s="174" t="s">
        <v>85</v>
      </c>
      <c r="Q148" s="174" t="s">
        <v>297</v>
      </c>
      <c r="R148" s="172" t="s">
        <v>84</v>
      </c>
      <c r="S148" s="173"/>
      <c r="T148" s="172"/>
      <c r="U148" s="173"/>
      <c r="V148" s="166" t="s">
        <v>132</v>
      </c>
      <c r="W148" s="173"/>
      <c r="X148" s="173"/>
      <c r="Y148" s="173"/>
      <c r="Z148" s="173" t="s">
        <v>132</v>
      </c>
      <c r="AA148" s="173"/>
      <c r="AB148" s="173" t="s">
        <v>132</v>
      </c>
      <c r="AC148" s="166" t="s">
        <v>132</v>
      </c>
      <c r="AD148" s="166" t="s">
        <v>132</v>
      </c>
      <c r="AE148" s="173"/>
      <c r="AF148" s="166" t="s">
        <v>132</v>
      </c>
      <c r="AG148" s="166"/>
      <c r="AH148" s="214"/>
    </row>
    <row r="149" spans="1:34" ht="15" customHeight="1">
      <c r="A149" s="166">
        <v>144</v>
      </c>
      <c r="B149" s="213" t="s">
        <v>298</v>
      </c>
      <c r="C149" s="173">
        <v>7.1</v>
      </c>
      <c r="D149" s="209" t="s">
        <v>137</v>
      </c>
      <c r="E149" s="209" t="s">
        <v>137</v>
      </c>
      <c r="F149" s="173" t="s">
        <v>135</v>
      </c>
      <c r="G149" s="173"/>
      <c r="H149" s="173"/>
      <c r="I149" s="173"/>
      <c r="J149" s="173"/>
      <c r="K149" s="173"/>
      <c r="L149" s="173"/>
      <c r="M149" s="173"/>
      <c r="N149" s="173"/>
      <c r="O149" s="174" t="s">
        <v>85</v>
      </c>
      <c r="P149" s="173"/>
      <c r="Q149" s="173"/>
      <c r="R149" s="173"/>
      <c r="S149" s="173"/>
      <c r="T149" s="172"/>
      <c r="U149" s="173"/>
      <c r="V149" s="166" t="s">
        <v>132</v>
      </c>
      <c r="W149" s="173"/>
      <c r="X149" s="173"/>
      <c r="Y149" s="173"/>
      <c r="Z149" s="173" t="s">
        <v>132</v>
      </c>
      <c r="AA149" s="173" t="s">
        <v>132</v>
      </c>
      <c r="AB149" s="173"/>
      <c r="AC149" s="166" t="s">
        <v>132</v>
      </c>
      <c r="AD149" s="173"/>
      <c r="AE149" s="173"/>
      <c r="AF149" s="166" t="s">
        <v>132</v>
      </c>
      <c r="AG149" s="166"/>
      <c r="AH149" s="214"/>
    </row>
    <row r="150" spans="1:34" ht="15" customHeight="1">
      <c r="A150" s="166">
        <v>145</v>
      </c>
      <c r="B150" s="213" t="s">
        <v>299</v>
      </c>
      <c r="C150" s="173">
        <v>7.1</v>
      </c>
      <c r="D150" s="209" t="s">
        <v>145</v>
      </c>
      <c r="E150" s="209" t="s">
        <v>145</v>
      </c>
      <c r="F150" s="173" t="s">
        <v>300</v>
      </c>
      <c r="G150" s="172"/>
      <c r="H150" s="172" t="s">
        <v>84</v>
      </c>
      <c r="I150" s="172"/>
      <c r="J150" s="173"/>
      <c r="K150" s="172" t="s">
        <v>84</v>
      </c>
      <c r="L150" s="172" t="s">
        <v>84</v>
      </c>
      <c r="M150" s="172" t="s">
        <v>84</v>
      </c>
      <c r="N150" s="173"/>
      <c r="O150" s="172" t="s">
        <v>84</v>
      </c>
      <c r="P150" s="172"/>
      <c r="Q150" s="172" t="s">
        <v>84</v>
      </c>
      <c r="R150" s="172" t="s">
        <v>84</v>
      </c>
      <c r="S150" s="173"/>
      <c r="T150" s="172"/>
      <c r="U150" s="173"/>
      <c r="V150" s="166" t="s">
        <v>132</v>
      </c>
      <c r="W150" s="173" t="s">
        <v>132</v>
      </c>
      <c r="X150" s="173" t="s">
        <v>132</v>
      </c>
      <c r="Y150" s="173" t="s">
        <v>132</v>
      </c>
      <c r="Z150" s="173" t="s">
        <v>132</v>
      </c>
      <c r="AA150" s="173" t="s">
        <v>132</v>
      </c>
      <c r="AB150" s="173"/>
      <c r="AC150" s="166" t="s">
        <v>132</v>
      </c>
      <c r="AD150" s="166" t="s">
        <v>132</v>
      </c>
      <c r="AE150" s="173"/>
      <c r="AF150" s="173"/>
      <c r="AG150" s="166"/>
      <c r="AH150" s="214"/>
    </row>
    <row r="151" spans="1:34" ht="15" customHeight="1">
      <c r="A151" s="166">
        <v>146</v>
      </c>
      <c r="B151" s="213" t="s">
        <v>301</v>
      </c>
      <c r="C151" s="173">
        <v>8.1</v>
      </c>
      <c r="D151" s="209" t="s">
        <v>145</v>
      </c>
      <c r="E151" s="209" t="s">
        <v>145</v>
      </c>
      <c r="F151" s="173" t="s">
        <v>140</v>
      </c>
      <c r="G151" s="173"/>
      <c r="H151" s="172"/>
      <c r="I151" s="173"/>
      <c r="J151" s="173"/>
      <c r="K151" s="173"/>
      <c r="L151" s="173"/>
      <c r="M151" s="173"/>
      <c r="N151" s="174" t="s">
        <v>85</v>
      </c>
      <c r="O151" s="173"/>
      <c r="P151" s="173"/>
      <c r="Q151" s="174" t="s">
        <v>85</v>
      </c>
      <c r="R151" s="174" t="s">
        <v>85</v>
      </c>
      <c r="S151" s="174" t="s">
        <v>85</v>
      </c>
      <c r="T151" s="172"/>
      <c r="U151" s="173"/>
      <c r="V151" s="173"/>
      <c r="W151" s="173" t="s">
        <v>132</v>
      </c>
      <c r="X151" s="173"/>
      <c r="Y151" s="173"/>
      <c r="Z151" s="173" t="s">
        <v>132</v>
      </c>
      <c r="AA151" s="173" t="s">
        <v>132</v>
      </c>
      <c r="AB151" s="173"/>
      <c r="AC151" s="173"/>
      <c r="AD151" s="173"/>
      <c r="AE151" s="173"/>
      <c r="AF151" s="173"/>
      <c r="AG151" s="166"/>
      <c r="AH151" s="214"/>
    </row>
    <row r="152" spans="1:34" ht="15" customHeight="1">
      <c r="A152" s="166">
        <v>147</v>
      </c>
      <c r="B152" s="213" t="s">
        <v>302</v>
      </c>
      <c r="C152" s="173">
        <v>7.1</v>
      </c>
      <c r="D152" s="209" t="s">
        <v>130</v>
      </c>
      <c r="E152" s="209" t="s">
        <v>130</v>
      </c>
      <c r="F152" s="173" t="s">
        <v>135</v>
      </c>
      <c r="G152" s="172" t="s">
        <v>84</v>
      </c>
      <c r="H152" s="174" t="s">
        <v>85</v>
      </c>
      <c r="I152" s="172" t="s">
        <v>84</v>
      </c>
      <c r="J152" s="211" t="s">
        <v>83</v>
      </c>
      <c r="K152" s="174" t="s">
        <v>85</v>
      </c>
      <c r="L152" s="172" t="s">
        <v>84</v>
      </c>
      <c r="M152" s="172" t="s">
        <v>84</v>
      </c>
      <c r="N152" s="172" t="s">
        <v>84</v>
      </c>
      <c r="O152" s="211" t="s">
        <v>83</v>
      </c>
      <c r="P152" s="172" t="s">
        <v>84</v>
      </c>
      <c r="Q152" s="174" t="s">
        <v>85</v>
      </c>
      <c r="R152" s="174" t="s">
        <v>85</v>
      </c>
      <c r="S152" s="174" t="s">
        <v>85</v>
      </c>
      <c r="T152" s="164" t="s">
        <v>85</v>
      </c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  <c r="AG152" s="166"/>
      <c r="AH152" s="214"/>
    </row>
    <row r="153" spans="1:34" ht="15" customHeight="1">
      <c r="A153" s="166">
        <v>148</v>
      </c>
      <c r="B153" s="213" t="s">
        <v>303</v>
      </c>
      <c r="C153" s="173">
        <v>7.1</v>
      </c>
      <c r="D153" s="209" t="s">
        <v>129</v>
      </c>
      <c r="E153" s="209" t="s">
        <v>129</v>
      </c>
      <c r="F153" s="173" t="s">
        <v>304</v>
      </c>
      <c r="G153" s="211" t="s">
        <v>83</v>
      </c>
      <c r="H153" s="172" t="s">
        <v>84</v>
      </c>
      <c r="I153" s="173"/>
      <c r="J153" s="173"/>
      <c r="K153" s="174" t="s">
        <v>85</v>
      </c>
      <c r="L153" s="172"/>
      <c r="M153" s="174" t="s">
        <v>85</v>
      </c>
      <c r="N153" s="173"/>
      <c r="O153" s="173"/>
      <c r="P153" s="173"/>
      <c r="Q153" s="172"/>
      <c r="R153" s="172" t="s">
        <v>84</v>
      </c>
      <c r="S153" s="173"/>
      <c r="T153" s="172"/>
      <c r="U153" s="173"/>
      <c r="V153" s="173"/>
      <c r="W153" s="173" t="s">
        <v>132</v>
      </c>
      <c r="X153" s="173"/>
      <c r="Y153" s="173"/>
      <c r="Z153" s="173" t="s">
        <v>132</v>
      </c>
      <c r="AA153" s="173"/>
      <c r="AB153" s="173"/>
      <c r="AC153" s="173" t="s">
        <v>305</v>
      </c>
      <c r="AD153" s="173" t="s">
        <v>305</v>
      </c>
      <c r="AE153" s="173" t="s">
        <v>305</v>
      </c>
      <c r="AF153" s="166" t="s">
        <v>132</v>
      </c>
      <c r="AG153" s="166"/>
      <c r="AH153" s="214"/>
    </row>
    <row r="154" spans="1:34" ht="15" customHeight="1">
      <c r="A154" s="166">
        <v>149</v>
      </c>
      <c r="B154" s="213" t="s">
        <v>306</v>
      </c>
      <c r="C154" s="173">
        <v>7.2</v>
      </c>
      <c r="D154" s="209" t="s">
        <v>129</v>
      </c>
      <c r="E154" s="209" t="s">
        <v>129</v>
      </c>
      <c r="F154" s="173" t="s">
        <v>135</v>
      </c>
      <c r="G154" s="174" t="s">
        <v>85</v>
      </c>
      <c r="H154" s="174" t="s">
        <v>85</v>
      </c>
      <c r="I154" s="174" t="s">
        <v>85</v>
      </c>
      <c r="J154" s="173"/>
      <c r="K154" s="174" t="s">
        <v>85</v>
      </c>
      <c r="L154" s="174" t="s">
        <v>85</v>
      </c>
      <c r="M154" s="174" t="s">
        <v>85</v>
      </c>
      <c r="N154" s="211" t="s">
        <v>83</v>
      </c>
      <c r="O154" s="172" t="s">
        <v>84</v>
      </c>
      <c r="P154" s="172" t="s">
        <v>84</v>
      </c>
      <c r="Q154" s="174" t="s">
        <v>85</v>
      </c>
      <c r="R154" s="174" t="s">
        <v>85</v>
      </c>
      <c r="S154" s="174" t="s">
        <v>85</v>
      </c>
      <c r="T154" s="164" t="s">
        <v>85</v>
      </c>
      <c r="U154" s="173"/>
      <c r="V154" s="173"/>
      <c r="W154" s="173"/>
      <c r="X154" s="173"/>
      <c r="Y154" s="173" t="s">
        <v>132</v>
      </c>
      <c r="Z154" s="173" t="s">
        <v>132</v>
      </c>
      <c r="AA154" s="173" t="s">
        <v>132</v>
      </c>
      <c r="AB154" s="173"/>
      <c r="AC154" s="173"/>
      <c r="AD154" s="173"/>
      <c r="AE154" s="173"/>
      <c r="AF154" s="173"/>
      <c r="AG154" s="166"/>
      <c r="AH154" s="214"/>
    </row>
    <row r="155" spans="1:34" ht="15" customHeight="1">
      <c r="A155" s="166">
        <v>150</v>
      </c>
      <c r="B155" s="213" t="s">
        <v>307</v>
      </c>
      <c r="C155" s="173">
        <v>7.1</v>
      </c>
      <c r="D155" s="209" t="s">
        <v>139</v>
      </c>
      <c r="E155" s="209" t="s">
        <v>139</v>
      </c>
      <c r="F155" s="173" t="s">
        <v>135</v>
      </c>
      <c r="G155" s="172" t="s">
        <v>84</v>
      </c>
      <c r="H155" s="174" t="s">
        <v>85</v>
      </c>
      <c r="I155" s="174" t="s">
        <v>85</v>
      </c>
      <c r="J155" s="211" t="s">
        <v>83</v>
      </c>
      <c r="K155" s="174" t="s">
        <v>85</v>
      </c>
      <c r="L155" s="172" t="s">
        <v>84</v>
      </c>
      <c r="M155" s="174" t="s">
        <v>85</v>
      </c>
      <c r="N155" s="211" t="s">
        <v>83</v>
      </c>
      <c r="O155" s="211" t="s">
        <v>83</v>
      </c>
      <c r="P155" s="174" t="s">
        <v>85</v>
      </c>
      <c r="Q155" s="174" t="s">
        <v>85</v>
      </c>
      <c r="R155" s="174" t="s">
        <v>85</v>
      </c>
      <c r="S155" s="172" t="s">
        <v>84</v>
      </c>
      <c r="T155" s="172"/>
      <c r="U155" s="212" t="s">
        <v>83</v>
      </c>
      <c r="V155" s="166" t="s">
        <v>132</v>
      </c>
      <c r="W155" s="173" t="s">
        <v>132</v>
      </c>
      <c r="X155" s="173"/>
      <c r="Y155" s="173"/>
      <c r="Z155" s="173" t="s">
        <v>132</v>
      </c>
      <c r="AA155" s="173" t="s">
        <v>132</v>
      </c>
      <c r="AB155" s="173"/>
      <c r="AC155" s="166" t="s">
        <v>132</v>
      </c>
      <c r="AD155" s="173"/>
      <c r="AE155" s="173"/>
      <c r="AF155" s="173"/>
      <c r="AG155" s="166"/>
      <c r="AH155" s="214"/>
    </row>
    <row r="156" spans="1:34" ht="15" customHeight="1">
      <c r="A156" s="166">
        <v>151</v>
      </c>
      <c r="B156" s="213" t="s">
        <v>308</v>
      </c>
      <c r="C156" s="173">
        <v>7.1</v>
      </c>
      <c r="D156" s="209" t="s">
        <v>137</v>
      </c>
      <c r="E156" s="209" t="s">
        <v>137</v>
      </c>
      <c r="F156" s="173" t="s">
        <v>309</v>
      </c>
      <c r="G156" s="211" t="s">
        <v>83</v>
      </c>
      <c r="H156" s="174" t="s">
        <v>85</v>
      </c>
      <c r="I156" s="174" t="s">
        <v>85</v>
      </c>
      <c r="J156" s="211" t="s">
        <v>83</v>
      </c>
      <c r="K156" s="174" t="s">
        <v>85</v>
      </c>
      <c r="L156" s="172" t="s">
        <v>84</v>
      </c>
      <c r="M156" s="174" t="s">
        <v>85</v>
      </c>
      <c r="N156" s="205" t="s">
        <v>84</v>
      </c>
      <c r="O156" s="205" t="s">
        <v>84</v>
      </c>
      <c r="P156" s="211" t="s">
        <v>83</v>
      </c>
      <c r="Q156" s="174" t="s">
        <v>85</v>
      </c>
      <c r="R156" s="174" t="s">
        <v>85</v>
      </c>
      <c r="S156" s="172" t="s">
        <v>84</v>
      </c>
      <c r="T156" s="172"/>
      <c r="U156" s="165" t="s">
        <v>84</v>
      </c>
      <c r="V156" s="166" t="s">
        <v>132</v>
      </c>
      <c r="W156" s="173" t="s">
        <v>132</v>
      </c>
      <c r="X156" s="173"/>
      <c r="Y156" s="173"/>
      <c r="Z156" s="173" t="s">
        <v>132</v>
      </c>
      <c r="AA156" s="173" t="s">
        <v>132</v>
      </c>
      <c r="AB156" s="173"/>
      <c r="AC156" s="166" t="s">
        <v>132</v>
      </c>
      <c r="AD156" s="166" t="s">
        <v>132</v>
      </c>
      <c r="AE156" s="166" t="s">
        <v>132</v>
      </c>
      <c r="AF156" s="173" t="s">
        <v>305</v>
      </c>
      <c r="AG156" s="166"/>
      <c r="AH156" s="214"/>
    </row>
    <row r="157" spans="1:34" ht="15" customHeight="1">
      <c r="A157" s="166">
        <v>152</v>
      </c>
      <c r="B157" s="213" t="s">
        <v>310</v>
      </c>
      <c r="C157" s="173">
        <v>8.1999999999999993</v>
      </c>
      <c r="D157" s="209" t="s">
        <v>130</v>
      </c>
      <c r="E157" s="209" t="s">
        <v>130</v>
      </c>
      <c r="F157" s="173" t="s">
        <v>131</v>
      </c>
      <c r="G157" s="172" t="s">
        <v>84</v>
      </c>
      <c r="H157" s="174" t="s">
        <v>85</v>
      </c>
      <c r="I157" s="172" t="s">
        <v>84</v>
      </c>
      <c r="J157" s="174" t="s">
        <v>85</v>
      </c>
      <c r="K157" s="174" t="s">
        <v>85</v>
      </c>
      <c r="L157" s="174" t="s">
        <v>85</v>
      </c>
      <c r="M157" s="174" t="s">
        <v>85</v>
      </c>
      <c r="N157" s="191"/>
      <c r="O157" s="174" t="s">
        <v>85</v>
      </c>
      <c r="P157" s="174" t="s">
        <v>85</v>
      </c>
      <c r="Q157" s="174" t="s">
        <v>85</v>
      </c>
      <c r="R157" s="174" t="s">
        <v>85</v>
      </c>
      <c r="S157" s="172" t="s">
        <v>84</v>
      </c>
      <c r="T157" s="165" t="s">
        <v>84</v>
      </c>
      <c r="U157" s="212" t="s">
        <v>83</v>
      </c>
      <c r="V157" s="166" t="s">
        <v>132</v>
      </c>
      <c r="W157" s="173" t="s">
        <v>132</v>
      </c>
      <c r="X157" s="173"/>
      <c r="Y157" s="173" t="s">
        <v>132</v>
      </c>
      <c r="Z157" s="173" t="s">
        <v>132</v>
      </c>
      <c r="AA157" s="173" t="s">
        <v>132</v>
      </c>
      <c r="AB157" s="173"/>
      <c r="AC157" s="166" t="s">
        <v>305</v>
      </c>
      <c r="AD157" s="166" t="s">
        <v>132</v>
      </c>
      <c r="AE157" s="166" t="s">
        <v>132</v>
      </c>
      <c r="AF157" s="173"/>
      <c r="AG157" s="166"/>
      <c r="AH157" s="214"/>
    </row>
    <row r="158" spans="1:34" ht="15" customHeight="1">
      <c r="A158" s="166">
        <v>153</v>
      </c>
      <c r="B158" s="213" t="s">
        <v>311</v>
      </c>
      <c r="C158" s="173">
        <v>7.1</v>
      </c>
      <c r="D158" s="209" t="s">
        <v>139</v>
      </c>
      <c r="E158" s="209" t="s">
        <v>139</v>
      </c>
      <c r="F158" s="173" t="s">
        <v>312</v>
      </c>
      <c r="G158" s="211" t="s">
        <v>83</v>
      </c>
      <c r="H158" s="191"/>
      <c r="I158" s="191"/>
      <c r="J158" s="215"/>
      <c r="K158" s="191"/>
      <c r="L158" s="191"/>
      <c r="M158" s="172" t="s">
        <v>84</v>
      </c>
      <c r="N158" s="191"/>
      <c r="O158" s="211" t="s">
        <v>83</v>
      </c>
      <c r="P158" s="191"/>
      <c r="Q158" s="211" t="s">
        <v>83</v>
      </c>
      <c r="R158" s="191"/>
      <c r="S158" s="172" t="s">
        <v>84</v>
      </c>
      <c r="T158" s="172"/>
      <c r="U158" s="173"/>
      <c r="V158" s="166" t="s">
        <v>132</v>
      </c>
      <c r="W158" s="173"/>
      <c r="X158" s="173"/>
      <c r="Y158" s="173"/>
      <c r="Z158" s="173" t="s">
        <v>132</v>
      </c>
      <c r="AA158" s="173" t="s">
        <v>132</v>
      </c>
      <c r="AB158" s="173"/>
      <c r="AC158" s="173"/>
      <c r="AD158" s="173"/>
      <c r="AE158" s="173"/>
      <c r="AF158" s="173"/>
      <c r="AG158" s="166"/>
      <c r="AH158" s="214"/>
    </row>
    <row r="159" spans="1:34" ht="15" customHeight="1">
      <c r="A159" s="166">
        <v>154</v>
      </c>
      <c r="B159" s="213" t="s">
        <v>313</v>
      </c>
      <c r="C159" s="173">
        <v>7.1</v>
      </c>
      <c r="D159" s="209" t="s">
        <v>139</v>
      </c>
      <c r="E159" s="209" t="s">
        <v>139</v>
      </c>
      <c r="F159" s="173" t="s">
        <v>135</v>
      </c>
      <c r="G159" s="211" t="s">
        <v>83</v>
      </c>
      <c r="H159" s="174" t="s">
        <v>85</v>
      </c>
      <c r="I159" s="174" t="s">
        <v>85</v>
      </c>
      <c r="J159" s="211" t="s">
        <v>83</v>
      </c>
      <c r="K159" s="172" t="s">
        <v>84</v>
      </c>
      <c r="L159" s="172" t="s">
        <v>84</v>
      </c>
      <c r="M159" s="191"/>
      <c r="N159" s="172" t="s">
        <v>84</v>
      </c>
      <c r="O159" s="211" t="s">
        <v>83</v>
      </c>
      <c r="P159" s="173"/>
      <c r="Q159" s="174" t="s">
        <v>85</v>
      </c>
      <c r="R159" s="174" t="s">
        <v>85</v>
      </c>
      <c r="S159" s="173"/>
      <c r="T159" s="212" t="s">
        <v>83</v>
      </c>
      <c r="U159" s="173"/>
      <c r="V159" s="173"/>
      <c r="W159" s="173"/>
      <c r="X159" s="173" t="s">
        <v>132</v>
      </c>
      <c r="Y159" s="173" t="s">
        <v>132</v>
      </c>
      <c r="Z159" s="173"/>
      <c r="AA159" s="173"/>
      <c r="AB159" s="173"/>
      <c r="AC159" s="166" t="s">
        <v>132</v>
      </c>
      <c r="AD159" s="166" t="s">
        <v>132</v>
      </c>
      <c r="AE159" s="166" t="s">
        <v>132</v>
      </c>
      <c r="AF159" s="173"/>
      <c r="AG159" s="166"/>
      <c r="AH159" s="214"/>
    </row>
    <row r="160" spans="1:34" ht="15" customHeight="1">
      <c r="A160" s="166">
        <v>155</v>
      </c>
      <c r="B160" s="213" t="s">
        <v>314</v>
      </c>
      <c r="C160" s="173">
        <v>8.1</v>
      </c>
      <c r="D160" s="209" t="s">
        <v>145</v>
      </c>
      <c r="E160" s="209" t="s">
        <v>145</v>
      </c>
      <c r="F160" s="173" t="s">
        <v>140</v>
      </c>
      <c r="G160" s="172" t="s">
        <v>84</v>
      </c>
      <c r="H160" s="191"/>
      <c r="I160" s="172"/>
      <c r="J160" s="191"/>
      <c r="K160" s="191"/>
      <c r="L160" s="191"/>
      <c r="M160" s="191"/>
      <c r="N160" s="173"/>
      <c r="O160" s="174" t="s">
        <v>85</v>
      </c>
      <c r="P160" s="174" t="s">
        <v>85</v>
      </c>
      <c r="Q160" s="174" t="s">
        <v>85</v>
      </c>
      <c r="R160" s="174" t="s">
        <v>85</v>
      </c>
      <c r="S160" s="211" t="s">
        <v>83</v>
      </c>
      <c r="T160" s="172"/>
      <c r="U160" s="173"/>
      <c r="V160" s="166" t="s">
        <v>132</v>
      </c>
      <c r="W160" s="173"/>
      <c r="X160" s="173"/>
      <c r="Y160" s="173"/>
      <c r="Z160" s="173" t="s">
        <v>132</v>
      </c>
      <c r="AA160" s="173"/>
      <c r="AB160" s="173"/>
      <c r="AC160" s="201" t="s">
        <v>132</v>
      </c>
      <c r="AD160" s="173"/>
      <c r="AE160" s="173"/>
      <c r="AF160" s="201" t="s">
        <v>132</v>
      </c>
      <c r="AG160" s="166"/>
      <c r="AH160" s="214"/>
    </row>
    <row r="161" spans="1:34" ht="15" customHeight="1">
      <c r="A161" s="166">
        <v>156</v>
      </c>
      <c r="B161" s="207" t="s">
        <v>315</v>
      </c>
      <c r="C161" s="191"/>
      <c r="D161" s="216" t="s">
        <v>134</v>
      </c>
      <c r="E161" s="216" t="s">
        <v>134</v>
      </c>
      <c r="F161" s="191" t="s">
        <v>316</v>
      </c>
      <c r="G161" s="191"/>
      <c r="H161" s="192" t="s">
        <v>85</v>
      </c>
      <c r="I161" s="193" t="s">
        <v>84</v>
      </c>
      <c r="J161" s="193" t="s">
        <v>84</v>
      </c>
      <c r="K161" s="193" t="s">
        <v>84</v>
      </c>
      <c r="L161" s="217" t="s">
        <v>83</v>
      </c>
      <c r="M161" s="191"/>
      <c r="N161" s="191"/>
      <c r="O161" s="191"/>
      <c r="P161" s="191"/>
      <c r="Q161" s="191"/>
      <c r="R161" s="217" t="s">
        <v>83</v>
      </c>
      <c r="S161" s="172" t="s">
        <v>84</v>
      </c>
      <c r="T161" s="165" t="s">
        <v>84</v>
      </c>
      <c r="U161" s="212" t="s">
        <v>83</v>
      </c>
      <c r="V161" s="166" t="s">
        <v>132</v>
      </c>
      <c r="W161" s="191"/>
      <c r="X161" s="191"/>
      <c r="Y161" s="191"/>
      <c r="Z161" s="191"/>
      <c r="AA161" s="191"/>
      <c r="AB161" s="191" t="s">
        <v>132</v>
      </c>
      <c r="AC161" s="191" t="s">
        <v>132</v>
      </c>
      <c r="AD161" s="191" t="s">
        <v>132</v>
      </c>
      <c r="AE161" s="191" t="s">
        <v>132</v>
      </c>
      <c r="AF161" s="191" t="s">
        <v>132</v>
      </c>
      <c r="AG161" s="218" t="s">
        <v>132</v>
      </c>
      <c r="AH161" s="219" t="s">
        <v>317</v>
      </c>
    </row>
    <row r="162" spans="1:34" ht="15" customHeight="1">
      <c r="A162" s="166">
        <v>157</v>
      </c>
      <c r="B162" s="220" t="s">
        <v>81</v>
      </c>
      <c r="C162" s="173">
        <v>5</v>
      </c>
      <c r="D162" s="221" t="s">
        <v>134</v>
      </c>
      <c r="E162" s="221" t="s">
        <v>134</v>
      </c>
      <c r="F162" s="201" t="s">
        <v>318</v>
      </c>
      <c r="G162" s="201"/>
      <c r="H162" s="201"/>
      <c r="I162" s="201"/>
      <c r="J162" s="201"/>
      <c r="K162" s="174" t="s">
        <v>85</v>
      </c>
      <c r="L162" s="174" t="s">
        <v>85</v>
      </c>
      <c r="M162" s="174" t="s">
        <v>85</v>
      </c>
      <c r="N162" s="201"/>
      <c r="O162" s="201"/>
      <c r="P162" s="174" t="s">
        <v>85</v>
      </c>
      <c r="Q162" s="201"/>
      <c r="R162" s="174" t="s">
        <v>85</v>
      </c>
      <c r="S162" s="201"/>
      <c r="T162" s="202"/>
      <c r="U162" s="202"/>
      <c r="V162" s="202"/>
      <c r="W162" s="202" t="s">
        <v>132</v>
      </c>
      <c r="X162" s="202"/>
      <c r="Y162" s="202" t="s">
        <v>132</v>
      </c>
      <c r="Z162" s="202" t="s">
        <v>132</v>
      </c>
      <c r="AA162" s="202"/>
      <c r="AB162" s="202" t="s">
        <v>132</v>
      </c>
      <c r="AC162" s="202" t="s">
        <v>132</v>
      </c>
      <c r="AD162" s="202" t="s">
        <v>305</v>
      </c>
      <c r="AE162" s="202" t="s">
        <v>305</v>
      </c>
      <c r="AF162" s="202" t="s">
        <v>305</v>
      </c>
      <c r="AG162" s="203"/>
      <c r="AH162" s="203"/>
    </row>
    <row r="163" spans="1:34" ht="15" customHeight="1">
      <c r="A163" s="166">
        <v>158</v>
      </c>
      <c r="B163" s="220" t="s">
        <v>319</v>
      </c>
      <c r="C163" s="201">
        <v>6</v>
      </c>
      <c r="D163" s="221" t="s">
        <v>134</v>
      </c>
      <c r="E163" s="221" t="s">
        <v>134</v>
      </c>
      <c r="F163" s="201" t="s">
        <v>135</v>
      </c>
      <c r="G163" s="201" t="s">
        <v>320</v>
      </c>
      <c r="H163" s="192" t="s">
        <v>85</v>
      </c>
      <c r="I163" s="201" t="s">
        <v>320</v>
      </c>
      <c r="J163" s="201" t="s">
        <v>320</v>
      </c>
      <c r="K163" s="201" t="s">
        <v>320</v>
      </c>
      <c r="L163" s="201" t="s">
        <v>320</v>
      </c>
      <c r="M163" s="201" t="s">
        <v>320</v>
      </c>
      <c r="N163" s="201" t="s">
        <v>320</v>
      </c>
      <c r="O163" s="201" t="s">
        <v>320</v>
      </c>
      <c r="P163" s="192" t="s">
        <v>85</v>
      </c>
      <c r="Q163" s="192" t="s">
        <v>85</v>
      </c>
      <c r="R163" s="192" t="s">
        <v>85</v>
      </c>
      <c r="S163" s="172" t="s">
        <v>84</v>
      </c>
      <c r="T163" s="165" t="s">
        <v>84</v>
      </c>
      <c r="U163" s="202" t="s">
        <v>320</v>
      </c>
      <c r="V163" s="166" t="s">
        <v>132</v>
      </c>
      <c r="W163" s="202" t="s">
        <v>320</v>
      </c>
      <c r="X163" s="202" t="s">
        <v>320</v>
      </c>
      <c r="Y163" s="202" t="s">
        <v>320</v>
      </c>
      <c r="Z163" s="201" t="s">
        <v>132</v>
      </c>
      <c r="AA163" s="202" t="s">
        <v>320</v>
      </c>
      <c r="AB163" s="201" t="s">
        <v>132</v>
      </c>
      <c r="AC163" s="201" t="s">
        <v>132</v>
      </c>
      <c r="AD163" s="201" t="s">
        <v>132</v>
      </c>
      <c r="AE163" s="201" t="s">
        <v>132</v>
      </c>
      <c r="AF163" s="201" t="s">
        <v>132</v>
      </c>
      <c r="AG163" s="203" t="s">
        <v>320</v>
      </c>
      <c r="AH163" s="203" t="s">
        <v>320</v>
      </c>
    </row>
    <row r="164" spans="1:34" ht="15" customHeight="1">
      <c r="A164" s="166">
        <v>159</v>
      </c>
      <c r="B164" s="220" t="s">
        <v>321</v>
      </c>
      <c r="C164" s="201">
        <v>7.1</v>
      </c>
      <c r="D164" s="221" t="s">
        <v>137</v>
      </c>
      <c r="E164" s="221" t="s">
        <v>137</v>
      </c>
      <c r="F164" s="201" t="s">
        <v>135</v>
      </c>
      <c r="G164" s="222" t="s">
        <v>83</v>
      </c>
      <c r="H164" s="204" t="s">
        <v>85</v>
      </c>
      <c r="I164" s="204" t="s">
        <v>85</v>
      </c>
      <c r="J164" s="222" t="s">
        <v>83</v>
      </c>
      <c r="K164" s="205" t="s">
        <v>84</v>
      </c>
      <c r="L164" s="205" t="s">
        <v>84</v>
      </c>
      <c r="M164" s="204"/>
      <c r="N164" s="205" t="s">
        <v>84</v>
      </c>
      <c r="O164" s="222" t="s">
        <v>83</v>
      </c>
      <c r="P164" s="201"/>
      <c r="Q164" s="204" t="s">
        <v>85</v>
      </c>
      <c r="R164" s="204" t="s">
        <v>85</v>
      </c>
      <c r="S164" s="201"/>
      <c r="T164" s="205"/>
      <c r="U164" s="201"/>
      <c r="V164" s="166" t="s">
        <v>132</v>
      </c>
      <c r="W164" s="201"/>
      <c r="X164" s="201"/>
      <c r="Y164" s="201"/>
      <c r="Z164" s="201" t="s">
        <v>132</v>
      </c>
      <c r="AA164" s="201" t="s">
        <v>132</v>
      </c>
      <c r="AB164" s="201"/>
      <c r="AC164" s="201" t="s">
        <v>132</v>
      </c>
      <c r="AD164" s="201"/>
      <c r="AE164" s="201" t="s">
        <v>132</v>
      </c>
      <c r="AF164" s="201"/>
      <c r="AG164" s="201"/>
      <c r="AH164" s="223"/>
    </row>
    <row r="165" spans="1:34" ht="15" customHeight="1">
      <c r="A165" s="166">
        <v>160</v>
      </c>
      <c r="B165" s="220" t="s">
        <v>322</v>
      </c>
      <c r="C165" s="201">
        <v>8.1999999999999993</v>
      </c>
      <c r="D165" s="221" t="s">
        <v>130</v>
      </c>
      <c r="E165" s="221" t="s">
        <v>130</v>
      </c>
      <c r="F165" s="201" t="s">
        <v>135</v>
      </c>
      <c r="G165" s="205" t="s">
        <v>84</v>
      </c>
      <c r="H165" s="204" t="s">
        <v>85</v>
      </c>
      <c r="I165" s="205" t="s">
        <v>84</v>
      </c>
      <c r="J165" s="204" t="s">
        <v>85</v>
      </c>
      <c r="K165" s="204" t="s">
        <v>85</v>
      </c>
      <c r="L165" s="204" t="s">
        <v>85</v>
      </c>
      <c r="M165" s="204" t="s">
        <v>85</v>
      </c>
      <c r="N165" s="222"/>
      <c r="O165" s="204" t="s">
        <v>85</v>
      </c>
      <c r="P165" s="204" t="s">
        <v>85</v>
      </c>
      <c r="Q165" s="204" t="s">
        <v>85</v>
      </c>
      <c r="R165" s="204" t="s">
        <v>85</v>
      </c>
      <c r="S165" s="172" t="s">
        <v>84</v>
      </c>
      <c r="T165" s="165" t="s">
        <v>84</v>
      </c>
      <c r="U165" s="212" t="s">
        <v>83</v>
      </c>
      <c r="V165" s="166" t="s">
        <v>132</v>
      </c>
      <c r="W165" s="201" t="s">
        <v>132</v>
      </c>
      <c r="X165" s="201"/>
      <c r="Y165" s="201" t="s">
        <v>132</v>
      </c>
      <c r="Z165" s="201" t="s">
        <v>132</v>
      </c>
      <c r="AA165" s="201" t="s">
        <v>132</v>
      </c>
      <c r="AB165" s="201"/>
      <c r="AC165" s="201" t="s">
        <v>305</v>
      </c>
      <c r="AD165" s="201" t="s">
        <v>132</v>
      </c>
      <c r="AE165" s="201" t="s">
        <v>132</v>
      </c>
      <c r="AF165" s="201"/>
      <c r="AG165" s="201"/>
      <c r="AH165" s="223"/>
    </row>
    <row r="166" spans="1:34" ht="15" customHeight="1">
      <c r="A166" s="166">
        <v>161</v>
      </c>
      <c r="B166" s="224" t="s">
        <v>323</v>
      </c>
      <c r="C166" s="201">
        <v>7.1</v>
      </c>
      <c r="D166" s="221" t="s">
        <v>137</v>
      </c>
      <c r="E166" s="221" t="s">
        <v>137</v>
      </c>
      <c r="F166" s="201" t="s">
        <v>135</v>
      </c>
      <c r="G166" s="222" t="s">
        <v>83</v>
      </c>
      <c r="H166" s="204" t="s">
        <v>85</v>
      </c>
      <c r="I166" s="204" t="s">
        <v>85</v>
      </c>
      <c r="J166" s="222" t="s">
        <v>83</v>
      </c>
      <c r="K166" s="205" t="s">
        <v>84</v>
      </c>
      <c r="L166" s="205" t="s">
        <v>84</v>
      </c>
      <c r="M166" s="204"/>
      <c r="N166" s="205" t="s">
        <v>84</v>
      </c>
      <c r="O166" s="222" t="s">
        <v>83</v>
      </c>
      <c r="P166" s="201"/>
      <c r="Q166" s="204" t="s">
        <v>85</v>
      </c>
      <c r="R166" s="204" t="s">
        <v>85</v>
      </c>
      <c r="S166" s="201"/>
      <c r="T166" s="205"/>
      <c r="U166" s="201"/>
      <c r="V166" s="166" t="s">
        <v>132</v>
      </c>
      <c r="W166" s="201"/>
      <c r="X166" s="201"/>
      <c r="Y166" s="201"/>
      <c r="Z166" s="201" t="s">
        <v>132</v>
      </c>
      <c r="AA166" s="201" t="s">
        <v>132</v>
      </c>
      <c r="AB166" s="201"/>
      <c r="AC166" s="201" t="s">
        <v>132</v>
      </c>
      <c r="AD166" s="201"/>
      <c r="AE166" s="201" t="s">
        <v>132</v>
      </c>
      <c r="AF166" s="201"/>
      <c r="AG166" s="201"/>
      <c r="AH166" s="223"/>
    </row>
    <row r="167" spans="1:34" ht="15" customHeight="1">
      <c r="A167" s="166">
        <v>162</v>
      </c>
      <c r="B167" s="225" t="s">
        <v>324</v>
      </c>
      <c r="C167" s="201">
        <v>8.1999999999999993</v>
      </c>
      <c r="D167" s="226" t="s">
        <v>139</v>
      </c>
      <c r="E167" s="226" t="s">
        <v>139</v>
      </c>
      <c r="F167" s="201" t="s">
        <v>135</v>
      </c>
      <c r="G167" s="201"/>
      <c r="H167" s="204" t="s">
        <v>85</v>
      </c>
      <c r="I167" s="205" t="s">
        <v>84</v>
      </c>
      <c r="J167" s="201"/>
      <c r="K167" s="222" t="s">
        <v>83</v>
      </c>
      <c r="L167" s="201"/>
      <c r="M167" s="205" t="s">
        <v>84</v>
      </c>
      <c r="N167" s="201"/>
      <c r="O167" s="201"/>
      <c r="P167" s="204" t="s">
        <v>85</v>
      </c>
      <c r="Q167" s="204" t="s">
        <v>85</v>
      </c>
      <c r="R167" s="204" t="s">
        <v>85</v>
      </c>
      <c r="S167" s="201"/>
      <c r="T167" s="202"/>
      <c r="U167" s="202"/>
      <c r="V167" s="202"/>
      <c r="W167" s="202"/>
      <c r="X167" s="202"/>
      <c r="Y167" s="202" t="s">
        <v>132</v>
      </c>
      <c r="Z167" s="202"/>
      <c r="AA167" s="202"/>
      <c r="AB167" s="202"/>
      <c r="AC167" s="202" t="s">
        <v>132</v>
      </c>
      <c r="AD167" s="202" t="s">
        <v>132</v>
      </c>
      <c r="AE167" s="202" t="s">
        <v>132</v>
      </c>
      <c r="AF167" s="202"/>
      <c r="AG167" s="203"/>
      <c r="AH167" s="203"/>
    </row>
    <row r="168" spans="1:34" ht="15" customHeight="1">
      <c r="A168" s="166">
        <v>163</v>
      </c>
      <c r="B168" s="225" t="s">
        <v>325</v>
      </c>
      <c r="C168" s="201">
        <v>6.2</v>
      </c>
      <c r="D168" s="226" t="s">
        <v>134</v>
      </c>
      <c r="E168" s="226" t="s">
        <v>134</v>
      </c>
      <c r="F168" s="201" t="s">
        <v>135</v>
      </c>
      <c r="G168" s="204" t="s">
        <v>85</v>
      </c>
      <c r="H168" s="204" t="s">
        <v>85</v>
      </c>
      <c r="I168" s="205" t="s">
        <v>84</v>
      </c>
      <c r="J168" s="201"/>
      <c r="K168" s="201"/>
      <c r="L168" s="201"/>
      <c r="M168" s="204" t="s">
        <v>85</v>
      </c>
      <c r="N168" s="205" t="s">
        <v>84</v>
      </c>
      <c r="O168" s="204" t="s">
        <v>85</v>
      </c>
      <c r="P168" s="204" t="s">
        <v>85</v>
      </c>
      <c r="Q168" s="204" t="s">
        <v>85</v>
      </c>
      <c r="R168" s="204" t="s">
        <v>85</v>
      </c>
      <c r="S168" s="174" t="s">
        <v>85</v>
      </c>
      <c r="T168" s="202"/>
      <c r="U168" s="202"/>
      <c r="V168" s="202"/>
      <c r="W168" s="202"/>
      <c r="X168" s="202"/>
      <c r="Y168" s="202"/>
      <c r="Z168" s="202" t="s">
        <v>132</v>
      </c>
      <c r="AA168" s="202" t="s">
        <v>132</v>
      </c>
      <c r="AB168" s="202" t="s">
        <v>317</v>
      </c>
      <c r="AC168" s="202" t="s">
        <v>132</v>
      </c>
      <c r="AD168" s="202"/>
      <c r="AE168" s="202" t="s">
        <v>132</v>
      </c>
      <c r="AF168" s="202"/>
      <c r="AG168" s="203" t="s">
        <v>326</v>
      </c>
      <c r="AH168" s="203" t="s">
        <v>305</v>
      </c>
    </row>
    <row r="169" spans="1:34" ht="15" customHeight="1">
      <c r="A169" s="166">
        <v>164</v>
      </c>
      <c r="B169" s="225" t="s">
        <v>327</v>
      </c>
      <c r="C169" s="201">
        <v>8.1999999999999993</v>
      </c>
      <c r="D169" s="226" t="s">
        <v>139</v>
      </c>
      <c r="E169" s="226" t="s">
        <v>139</v>
      </c>
      <c r="F169" s="201" t="s">
        <v>135</v>
      </c>
      <c r="G169" s="204" t="s">
        <v>85</v>
      </c>
      <c r="H169" s="204" t="s">
        <v>85</v>
      </c>
      <c r="I169" s="201"/>
      <c r="J169" s="201"/>
      <c r="K169" s="201"/>
      <c r="L169" s="201"/>
      <c r="M169" s="222" t="s">
        <v>83</v>
      </c>
      <c r="N169" s="201"/>
      <c r="O169" s="201"/>
      <c r="P169" s="204" t="s">
        <v>85</v>
      </c>
      <c r="Q169" s="222" t="s">
        <v>83</v>
      </c>
      <c r="R169" s="204" t="s">
        <v>85</v>
      </c>
      <c r="S169" s="201"/>
      <c r="T169" s="202"/>
      <c r="U169" s="202"/>
      <c r="V169" s="202"/>
      <c r="W169" s="202"/>
      <c r="X169" s="202" t="s">
        <v>132</v>
      </c>
      <c r="Y169" s="202" t="s">
        <v>132</v>
      </c>
      <c r="Z169" s="202" t="s">
        <v>132</v>
      </c>
      <c r="AA169" s="202" t="s">
        <v>132</v>
      </c>
      <c r="AB169" s="202"/>
      <c r="AC169" s="202" t="s">
        <v>132</v>
      </c>
      <c r="AD169" s="202" t="s">
        <v>132</v>
      </c>
      <c r="AE169" s="202" t="s">
        <v>132</v>
      </c>
      <c r="AF169" s="202"/>
      <c r="AG169" s="203"/>
      <c r="AH169" s="203"/>
    </row>
    <row r="170" spans="1:34" ht="15" customHeight="1">
      <c r="A170" s="166">
        <v>165</v>
      </c>
      <c r="B170" s="225" t="s">
        <v>328</v>
      </c>
      <c r="C170" s="201">
        <v>8.1999999999999993</v>
      </c>
      <c r="D170" s="226" t="s">
        <v>130</v>
      </c>
      <c r="E170" s="226" t="s">
        <v>130</v>
      </c>
      <c r="F170" s="201" t="s">
        <v>135</v>
      </c>
      <c r="G170" s="201"/>
      <c r="H170" s="204" t="s">
        <v>85</v>
      </c>
      <c r="I170" s="204" t="s">
        <v>85</v>
      </c>
      <c r="J170" s="201"/>
      <c r="K170" s="201"/>
      <c r="L170" s="201"/>
      <c r="M170" s="204" t="s">
        <v>85</v>
      </c>
      <c r="N170" s="201"/>
      <c r="O170" s="201"/>
      <c r="P170" s="204" t="s">
        <v>85</v>
      </c>
      <c r="Q170" s="201"/>
      <c r="R170" s="204" t="s">
        <v>85</v>
      </c>
      <c r="S170" s="201"/>
      <c r="T170" s="202"/>
      <c r="U170" s="202"/>
      <c r="V170" s="202"/>
      <c r="W170" s="202"/>
      <c r="X170" s="202"/>
      <c r="Y170" s="202" t="s">
        <v>132</v>
      </c>
      <c r="Z170" s="202" t="s">
        <v>132</v>
      </c>
      <c r="AA170" s="202"/>
      <c r="AB170" s="202"/>
      <c r="AC170" s="202" t="s">
        <v>132</v>
      </c>
      <c r="AD170" s="202" t="s">
        <v>132</v>
      </c>
      <c r="AE170" s="202" t="s">
        <v>132</v>
      </c>
      <c r="AF170" s="202"/>
      <c r="AG170" s="203"/>
      <c r="AH170" s="203"/>
    </row>
    <row r="171" spans="1:34" ht="15" customHeight="1">
      <c r="A171" s="166">
        <v>166</v>
      </c>
      <c r="B171" s="225" t="s">
        <v>329</v>
      </c>
      <c r="C171" s="201">
        <v>8.1999999999999993</v>
      </c>
      <c r="D171" s="226" t="s">
        <v>139</v>
      </c>
      <c r="E171" s="226" t="s">
        <v>139</v>
      </c>
      <c r="F171" s="201" t="s">
        <v>135</v>
      </c>
      <c r="G171" s="205" t="s">
        <v>84</v>
      </c>
      <c r="H171" s="204" t="s">
        <v>85</v>
      </c>
      <c r="I171" s="222" t="s">
        <v>83</v>
      </c>
      <c r="J171" s="201"/>
      <c r="K171" s="222" t="s">
        <v>83</v>
      </c>
      <c r="L171" s="222" t="s">
        <v>83</v>
      </c>
      <c r="M171" s="222" t="s">
        <v>83</v>
      </c>
      <c r="N171" s="222" t="s">
        <v>83</v>
      </c>
      <c r="O171" s="201"/>
      <c r="P171" s="204" t="s">
        <v>85</v>
      </c>
      <c r="Q171" s="204" t="s">
        <v>85</v>
      </c>
      <c r="R171" s="204" t="s">
        <v>85</v>
      </c>
      <c r="S171" s="201"/>
      <c r="T171" s="202"/>
      <c r="U171" s="202"/>
      <c r="V171" s="202"/>
      <c r="W171" s="202" t="s">
        <v>132</v>
      </c>
      <c r="X171" s="202" t="s">
        <v>132</v>
      </c>
      <c r="Y171" s="202"/>
      <c r="Z171" s="202" t="s">
        <v>132</v>
      </c>
      <c r="AA171" s="202"/>
      <c r="AB171" s="202"/>
      <c r="AC171" s="202" t="s">
        <v>132</v>
      </c>
      <c r="AD171" s="202" t="s">
        <v>132</v>
      </c>
      <c r="AE171" s="202" t="s">
        <v>132</v>
      </c>
      <c r="AF171" s="202" t="s">
        <v>132</v>
      </c>
      <c r="AG171" s="203"/>
      <c r="AH171" s="203"/>
    </row>
    <row r="172" spans="1:34" ht="16.5" customHeight="1">
      <c r="A172" s="166">
        <v>167</v>
      </c>
      <c r="B172" s="225" t="s">
        <v>330</v>
      </c>
      <c r="C172" s="201">
        <v>8.1999999999999993</v>
      </c>
      <c r="D172" s="226" t="s">
        <v>139</v>
      </c>
      <c r="E172" s="226" t="s">
        <v>139</v>
      </c>
      <c r="F172" s="201" t="s">
        <v>135</v>
      </c>
      <c r="G172" s="201"/>
      <c r="H172" s="201"/>
      <c r="I172" s="201"/>
      <c r="J172" s="201"/>
      <c r="K172" s="201"/>
      <c r="L172" s="201"/>
      <c r="M172" s="201"/>
      <c r="N172" s="201"/>
      <c r="O172" s="201"/>
      <c r="P172" s="204" t="s">
        <v>85</v>
      </c>
      <c r="Q172" s="204" t="s">
        <v>85</v>
      </c>
      <c r="R172" s="204" t="s">
        <v>85</v>
      </c>
      <c r="S172" s="201"/>
      <c r="T172" s="202"/>
      <c r="U172" s="202"/>
      <c r="V172" s="202"/>
      <c r="W172" s="202"/>
      <c r="X172" s="202"/>
      <c r="Y172" s="202"/>
      <c r="Z172" s="202" t="s">
        <v>132</v>
      </c>
      <c r="AA172" s="202"/>
      <c r="AB172" s="202" t="s">
        <v>331</v>
      </c>
      <c r="AC172" s="202" t="s">
        <v>132</v>
      </c>
      <c r="AD172" s="202"/>
      <c r="AE172" s="202" t="s">
        <v>132</v>
      </c>
      <c r="AF172" s="202"/>
      <c r="AG172" s="203"/>
      <c r="AH172" s="203"/>
    </row>
    <row r="173" spans="1:34" ht="15" customHeight="1">
      <c r="A173" s="166">
        <v>168</v>
      </c>
      <c r="B173" s="225" t="s">
        <v>332</v>
      </c>
      <c r="C173" s="201">
        <v>8.1</v>
      </c>
      <c r="D173" s="226" t="s">
        <v>142</v>
      </c>
      <c r="E173" s="226" t="s">
        <v>139</v>
      </c>
      <c r="F173" s="201" t="s">
        <v>135</v>
      </c>
      <c r="G173" s="205" t="s">
        <v>84</v>
      </c>
      <c r="H173" s="204" t="s">
        <v>85</v>
      </c>
      <c r="I173" s="201"/>
      <c r="J173" s="201"/>
      <c r="K173" s="205" t="s">
        <v>84</v>
      </c>
      <c r="L173" s="201"/>
      <c r="M173" s="222" t="s">
        <v>83</v>
      </c>
      <c r="N173" s="201"/>
      <c r="O173" s="201"/>
      <c r="P173" s="204" t="s">
        <v>85</v>
      </c>
      <c r="Q173" s="205" t="s">
        <v>84</v>
      </c>
      <c r="R173" s="204" t="s">
        <v>85</v>
      </c>
      <c r="S173" s="201"/>
      <c r="T173" s="202"/>
      <c r="U173" s="202"/>
      <c r="V173" s="202"/>
      <c r="W173" s="202"/>
      <c r="X173" s="202"/>
      <c r="Y173" s="202" t="s">
        <v>132</v>
      </c>
      <c r="Z173" s="202" t="s">
        <v>132</v>
      </c>
      <c r="AA173" s="202" t="s">
        <v>132</v>
      </c>
      <c r="AB173" s="202"/>
      <c r="AC173" s="202" t="s">
        <v>132</v>
      </c>
      <c r="AD173" s="202" t="s">
        <v>132</v>
      </c>
      <c r="AE173" s="202" t="s">
        <v>132</v>
      </c>
      <c r="AF173" s="202"/>
      <c r="AG173" s="203"/>
      <c r="AH173" s="203"/>
    </row>
    <row r="174" spans="1:34" ht="15" customHeight="1">
      <c r="A174" s="166">
        <v>169</v>
      </c>
      <c r="B174" s="225" t="s">
        <v>333</v>
      </c>
      <c r="C174" s="201">
        <v>8.1999999999999993</v>
      </c>
      <c r="D174" s="226" t="s">
        <v>142</v>
      </c>
      <c r="E174" s="226" t="s">
        <v>145</v>
      </c>
      <c r="F174" s="201" t="s">
        <v>135</v>
      </c>
      <c r="G174" s="201"/>
      <c r="H174" s="201"/>
      <c r="I174" s="201"/>
      <c r="J174" s="201"/>
      <c r="K174" s="201"/>
      <c r="L174" s="201"/>
      <c r="M174" s="204" t="s">
        <v>85</v>
      </c>
      <c r="N174" s="201"/>
      <c r="O174" s="204" t="s">
        <v>85</v>
      </c>
      <c r="P174" s="201"/>
      <c r="Q174" s="201"/>
      <c r="R174" s="205" t="s">
        <v>84</v>
      </c>
      <c r="S174" s="201"/>
      <c r="T174" s="202"/>
      <c r="U174" s="202"/>
      <c r="V174" s="202"/>
      <c r="W174" s="202"/>
      <c r="X174" s="202"/>
      <c r="Y174" s="202"/>
      <c r="Z174" s="202" t="s">
        <v>132</v>
      </c>
      <c r="AA174" s="202"/>
      <c r="AB174" s="202"/>
      <c r="AC174" s="202"/>
      <c r="AD174" s="202"/>
      <c r="AE174" s="202"/>
      <c r="AF174" s="202" t="s">
        <v>132</v>
      </c>
      <c r="AG174" s="203"/>
      <c r="AH174" s="203"/>
    </row>
    <row r="175" spans="1:34" ht="15" customHeight="1">
      <c r="A175" s="166">
        <v>170</v>
      </c>
      <c r="B175" s="225" t="s">
        <v>334</v>
      </c>
      <c r="C175" s="201">
        <v>7.2</v>
      </c>
      <c r="D175" s="226" t="s">
        <v>142</v>
      </c>
      <c r="E175" s="226" t="s">
        <v>142</v>
      </c>
      <c r="F175" s="201" t="s">
        <v>135</v>
      </c>
      <c r="G175" s="205" t="s">
        <v>84</v>
      </c>
      <c r="H175" s="201"/>
      <c r="I175" s="201"/>
      <c r="J175" s="201"/>
      <c r="K175" s="201"/>
      <c r="L175" s="201"/>
      <c r="M175" s="201"/>
      <c r="N175" s="201"/>
      <c r="O175" s="201"/>
      <c r="P175" s="205" t="s">
        <v>84</v>
      </c>
      <c r="Q175" s="205" t="s">
        <v>84</v>
      </c>
      <c r="R175" s="205" t="s">
        <v>84</v>
      </c>
      <c r="S175" s="201"/>
      <c r="T175" s="202"/>
      <c r="U175" s="202"/>
      <c r="V175" s="202"/>
      <c r="W175" s="202"/>
      <c r="X175" s="202"/>
      <c r="Y175" s="202"/>
      <c r="Z175" s="202" t="s">
        <v>132</v>
      </c>
      <c r="AA175" s="202"/>
      <c r="AB175" s="202"/>
      <c r="AC175" s="202" t="s">
        <v>132</v>
      </c>
      <c r="AD175" s="202"/>
      <c r="AE175" s="202" t="s">
        <v>132</v>
      </c>
      <c r="AF175" s="202"/>
      <c r="AG175" s="203"/>
      <c r="AH175" s="203"/>
    </row>
    <row r="176" spans="1:34" ht="15" customHeight="1">
      <c r="A176" s="166">
        <v>171</v>
      </c>
      <c r="B176" s="225" t="s">
        <v>335</v>
      </c>
      <c r="C176" s="201">
        <v>7.2</v>
      </c>
      <c r="D176" s="226" t="s">
        <v>137</v>
      </c>
      <c r="E176" s="226" t="s">
        <v>137</v>
      </c>
      <c r="F176" s="201" t="s">
        <v>135</v>
      </c>
      <c r="G176" s="205" t="s">
        <v>84</v>
      </c>
      <c r="H176" s="201"/>
      <c r="I176" s="201"/>
      <c r="J176" s="201"/>
      <c r="K176" s="201"/>
      <c r="L176" s="201"/>
      <c r="M176" s="201"/>
      <c r="N176" s="222" t="s">
        <v>83</v>
      </c>
      <c r="O176" s="205" t="s">
        <v>84</v>
      </c>
      <c r="P176" s="201"/>
      <c r="Q176" s="201"/>
      <c r="R176" s="205" t="s">
        <v>84</v>
      </c>
      <c r="S176" s="201"/>
      <c r="T176" s="202"/>
      <c r="U176" s="202"/>
      <c r="V176" s="202"/>
      <c r="W176" s="202"/>
      <c r="X176" s="202"/>
      <c r="Y176" s="202"/>
      <c r="Z176" s="202" t="s">
        <v>132</v>
      </c>
      <c r="AA176" s="202" t="s">
        <v>132</v>
      </c>
      <c r="AB176" s="202" t="s">
        <v>317</v>
      </c>
      <c r="AC176" s="202" t="s">
        <v>132</v>
      </c>
      <c r="AD176" s="202"/>
      <c r="AE176" s="202"/>
      <c r="AF176" s="202" t="s">
        <v>132</v>
      </c>
      <c r="AG176" s="203" t="s">
        <v>336</v>
      </c>
      <c r="AH176" s="203"/>
    </row>
    <row r="177" spans="1:34" ht="15" customHeight="1">
      <c r="A177" s="166">
        <v>172</v>
      </c>
      <c r="B177" s="225" t="s">
        <v>337</v>
      </c>
      <c r="C177" s="201">
        <v>6.1</v>
      </c>
      <c r="D177" s="226" t="s">
        <v>134</v>
      </c>
      <c r="E177" s="226" t="s">
        <v>139</v>
      </c>
      <c r="F177" s="201" t="s">
        <v>135</v>
      </c>
      <c r="G177" s="204" t="s">
        <v>85</v>
      </c>
      <c r="H177" s="204" t="s">
        <v>85</v>
      </c>
      <c r="I177" s="204" t="s">
        <v>85</v>
      </c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2"/>
      <c r="U177" s="202"/>
      <c r="V177" s="202"/>
      <c r="W177" s="202"/>
      <c r="X177" s="202"/>
      <c r="Y177" s="202"/>
      <c r="Z177" s="202" t="s">
        <v>132</v>
      </c>
      <c r="AA177" s="202" t="s">
        <v>132</v>
      </c>
      <c r="AB177" s="202" t="s">
        <v>338</v>
      </c>
      <c r="AC177" s="202" t="s">
        <v>132</v>
      </c>
      <c r="AD177" s="202" t="s">
        <v>132</v>
      </c>
      <c r="AE177" s="202" t="s">
        <v>132</v>
      </c>
      <c r="AF177" s="202" t="s">
        <v>132</v>
      </c>
      <c r="AG177" s="203"/>
      <c r="AH177" s="203"/>
    </row>
    <row r="178" spans="1:34" ht="15" customHeight="1">
      <c r="A178" s="166">
        <v>173</v>
      </c>
      <c r="B178" s="225" t="s">
        <v>339</v>
      </c>
      <c r="C178" s="201">
        <v>6.1</v>
      </c>
      <c r="D178" s="226" t="s">
        <v>134</v>
      </c>
      <c r="E178" s="226" t="s">
        <v>134</v>
      </c>
      <c r="F178" s="201" t="s">
        <v>135</v>
      </c>
      <c r="G178" s="204" t="s">
        <v>85</v>
      </c>
      <c r="H178" s="204" t="s">
        <v>85</v>
      </c>
      <c r="I178" s="205" t="s">
        <v>84</v>
      </c>
      <c r="J178" s="201"/>
      <c r="K178" s="201"/>
      <c r="L178" s="201"/>
      <c r="M178" s="201"/>
      <c r="N178" s="201"/>
      <c r="O178" s="201"/>
      <c r="P178" s="222" t="s">
        <v>83</v>
      </c>
      <c r="Q178" s="204" t="s">
        <v>85</v>
      </c>
      <c r="R178" s="204" t="s">
        <v>85</v>
      </c>
      <c r="S178" s="201"/>
      <c r="T178" s="202"/>
      <c r="U178" s="202"/>
      <c r="V178" s="202"/>
      <c r="W178" s="202"/>
      <c r="X178" s="202"/>
      <c r="Y178" s="202"/>
      <c r="Z178" s="202" t="s">
        <v>132</v>
      </c>
      <c r="AA178" s="202" t="s">
        <v>132</v>
      </c>
      <c r="AB178" s="202" t="s">
        <v>317</v>
      </c>
      <c r="AC178" s="202" t="s">
        <v>132</v>
      </c>
      <c r="AD178" s="202"/>
      <c r="AE178" s="202"/>
      <c r="AF178" s="202"/>
      <c r="AG178" s="203" t="s">
        <v>340</v>
      </c>
      <c r="AH178" s="203" t="s">
        <v>305</v>
      </c>
    </row>
    <row r="179" spans="1:34" ht="15" customHeight="1">
      <c r="A179" s="166">
        <v>174</v>
      </c>
      <c r="B179" s="225" t="s">
        <v>341</v>
      </c>
      <c r="C179" s="201">
        <v>5</v>
      </c>
      <c r="D179" s="226" t="s">
        <v>134</v>
      </c>
      <c r="E179" s="226" t="s">
        <v>142</v>
      </c>
      <c r="F179" s="201" t="s">
        <v>135</v>
      </c>
      <c r="G179" s="204" t="s">
        <v>85</v>
      </c>
      <c r="H179" s="204" t="s">
        <v>85</v>
      </c>
      <c r="I179" s="204" t="s">
        <v>85</v>
      </c>
      <c r="J179" s="205" t="s">
        <v>84</v>
      </c>
      <c r="K179" s="205" t="s">
        <v>84</v>
      </c>
      <c r="L179" s="222" t="s">
        <v>83</v>
      </c>
      <c r="M179" s="201"/>
      <c r="N179" s="201"/>
      <c r="O179" s="222" t="s">
        <v>83</v>
      </c>
      <c r="P179" s="201"/>
      <c r="Q179" s="205" t="s">
        <v>84</v>
      </c>
      <c r="R179" s="205" t="s">
        <v>84</v>
      </c>
      <c r="S179" s="172" t="s">
        <v>84</v>
      </c>
      <c r="T179" s="202"/>
      <c r="U179" s="202"/>
      <c r="V179" s="202"/>
      <c r="W179" s="202" t="s">
        <v>132</v>
      </c>
      <c r="X179" s="202"/>
      <c r="Y179" s="202" t="s">
        <v>132</v>
      </c>
      <c r="Z179" s="202" t="s">
        <v>132</v>
      </c>
      <c r="AA179" s="202" t="s">
        <v>132</v>
      </c>
      <c r="AB179" s="202"/>
      <c r="AC179" s="202" t="s">
        <v>132</v>
      </c>
      <c r="AD179" s="202" t="s">
        <v>132</v>
      </c>
      <c r="AE179" s="202"/>
      <c r="AF179" s="202" t="s">
        <v>132</v>
      </c>
      <c r="AG179" s="203"/>
      <c r="AH179" s="203"/>
    </row>
    <row r="180" spans="1:34" ht="15" customHeight="1">
      <c r="A180" s="166">
        <v>175</v>
      </c>
      <c r="B180" s="225" t="s">
        <v>342</v>
      </c>
      <c r="C180" s="201">
        <v>7.1</v>
      </c>
      <c r="D180" s="226" t="s">
        <v>134</v>
      </c>
      <c r="E180" s="226" t="s">
        <v>134</v>
      </c>
      <c r="F180" s="201" t="s">
        <v>300</v>
      </c>
      <c r="G180" s="201"/>
      <c r="H180" s="222" t="s">
        <v>83</v>
      </c>
      <c r="I180" s="201"/>
      <c r="J180" s="201"/>
      <c r="K180" s="222" t="s">
        <v>83</v>
      </c>
      <c r="L180" s="222" t="s">
        <v>83</v>
      </c>
      <c r="M180" s="222" t="s">
        <v>83</v>
      </c>
      <c r="N180" s="222" t="s">
        <v>83</v>
      </c>
      <c r="O180" s="204" t="s">
        <v>85</v>
      </c>
      <c r="P180" s="222" t="s">
        <v>83</v>
      </c>
      <c r="Q180" s="201"/>
      <c r="R180" s="222" t="s">
        <v>83</v>
      </c>
      <c r="S180" s="201"/>
      <c r="T180" s="202"/>
      <c r="U180" s="202"/>
      <c r="V180" s="202"/>
      <c r="W180" s="202"/>
      <c r="X180" s="202" t="s">
        <v>132</v>
      </c>
      <c r="Y180" s="202" t="s">
        <v>132</v>
      </c>
      <c r="Z180" s="202" t="s">
        <v>132</v>
      </c>
      <c r="AA180" s="202" t="s">
        <v>132</v>
      </c>
      <c r="AB180" s="202"/>
      <c r="AC180" s="202" t="s">
        <v>132</v>
      </c>
      <c r="AD180" s="202"/>
      <c r="AE180" s="202"/>
      <c r="AF180" s="202"/>
      <c r="AG180" s="203"/>
      <c r="AH180" s="203"/>
    </row>
    <row r="181" spans="1:34" ht="15" customHeight="1">
      <c r="A181" s="166">
        <v>176</v>
      </c>
      <c r="B181" s="225" t="s">
        <v>343</v>
      </c>
      <c r="C181" s="201">
        <v>6.1</v>
      </c>
      <c r="D181" s="226" t="s">
        <v>134</v>
      </c>
      <c r="E181" s="226" t="s">
        <v>134</v>
      </c>
      <c r="F181" s="201" t="s">
        <v>135</v>
      </c>
      <c r="G181" s="201"/>
      <c r="H181" s="204" t="s">
        <v>85</v>
      </c>
      <c r="I181" s="201"/>
      <c r="J181" s="201"/>
      <c r="K181" s="201"/>
      <c r="L181" s="201"/>
      <c r="M181" s="201"/>
      <c r="N181" s="201"/>
      <c r="O181" s="201"/>
      <c r="P181" s="204" t="s">
        <v>85</v>
      </c>
      <c r="Q181" s="201"/>
      <c r="R181" s="204" t="s">
        <v>85</v>
      </c>
      <c r="S181" s="201"/>
      <c r="T181" s="202"/>
      <c r="U181" s="202"/>
      <c r="V181" s="202"/>
      <c r="W181" s="202" t="s">
        <v>132</v>
      </c>
      <c r="X181" s="202"/>
      <c r="Y181" s="202" t="s">
        <v>132</v>
      </c>
      <c r="Z181" s="202" t="s">
        <v>132</v>
      </c>
      <c r="AA181" s="202" t="s">
        <v>132</v>
      </c>
      <c r="AB181" s="202"/>
      <c r="AC181" s="202" t="s">
        <v>132</v>
      </c>
      <c r="AD181" s="202"/>
      <c r="AE181" s="202"/>
      <c r="AF181" s="202"/>
      <c r="AG181" s="203"/>
      <c r="AH181" s="203"/>
    </row>
    <row r="182" spans="1:34" ht="15" customHeight="1">
      <c r="A182" s="173"/>
      <c r="B182" s="227"/>
      <c r="C182" s="228"/>
      <c r="D182" s="229"/>
      <c r="E182" s="229"/>
      <c r="F182" s="230"/>
      <c r="G182" s="194"/>
      <c r="H182" s="195"/>
      <c r="I182" s="197"/>
      <c r="J182" s="199"/>
      <c r="K182" s="195"/>
      <c r="L182" s="195"/>
      <c r="M182" s="195"/>
      <c r="N182" s="195"/>
      <c r="O182" s="197"/>
      <c r="P182" s="199"/>
      <c r="Q182" s="195"/>
      <c r="R182" s="197"/>
      <c r="S182" s="200"/>
      <c r="T182" s="196"/>
      <c r="U182" s="198"/>
      <c r="V182" s="258"/>
      <c r="W182" s="200"/>
      <c r="X182" s="196"/>
      <c r="Y182" s="196"/>
      <c r="Z182" s="196"/>
      <c r="AA182" s="196"/>
      <c r="AB182" s="198"/>
      <c r="AF182" s="257"/>
      <c r="AG182" s="231"/>
      <c r="AH182" s="232"/>
    </row>
    <row r="183" spans="1:34" ht="15" customHeight="1">
      <c r="A183" s="38"/>
      <c r="B183" s="233"/>
      <c r="C183" s="36"/>
      <c r="D183" s="234"/>
      <c r="E183" s="234"/>
      <c r="F183" s="235"/>
      <c r="G183" s="36"/>
      <c r="H183" s="39"/>
      <c r="I183" s="37"/>
      <c r="J183" s="38"/>
      <c r="K183" s="39"/>
      <c r="L183" s="39"/>
      <c r="M183" s="39"/>
      <c r="N183" s="39"/>
      <c r="O183" s="37"/>
      <c r="P183" s="38"/>
      <c r="Q183" s="39"/>
      <c r="R183" s="37"/>
      <c r="S183" s="38"/>
      <c r="T183" s="39"/>
      <c r="U183" s="37"/>
      <c r="V183" s="259"/>
      <c r="W183" s="38"/>
      <c r="X183" s="39"/>
      <c r="Y183" s="39"/>
      <c r="Z183" s="39"/>
      <c r="AA183" s="39"/>
      <c r="AB183" s="37"/>
      <c r="AF183" s="257"/>
      <c r="AG183" s="236"/>
      <c r="AH183" s="237"/>
    </row>
    <row r="184" spans="1:34" ht="15" customHeight="1">
      <c r="A184" s="38"/>
      <c r="B184" s="233"/>
      <c r="C184" s="36"/>
      <c r="D184" s="234"/>
      <c r="E184" s="234"/>
      <c r="F184" s="235"/>
      <c r="G184" s="36"/>
      <c r="H184" s="39"/>
      <c r="I184" s="37"/>
      <c r="J184" s="38"/>
      <c r="K184" s="39"/>
      <c r="L184" s="39"/>
      <c r="M184" s="39"/>
      <c r="N184" s="39"/>
      <c r="O184" s="37"/>
      <c r="P184" s="38"/>
      <c r="Q184" s="39"/>
      <c r="R184" s="37"/>
      <c r="S184" s="38"/>
      <c r="T184" s="39"/>
      <c r="U184" s="37"/>
      <c r="V184" s="259"/>
      <c r="W184" s="38"/>
      <c r="X184" s="39"/>
      <c r="Y184" s="39"/>
      <c r="Z184" s="39"/>
      <c r="AA184" s="39"/>
      <c r="AB184" s="37"/>
      <c r="AF184" s="257"/>
      <c r="AG184" s="236"/>
      <c r="AH184" s="237"/>
    </row>
    <row r="185" spans="1:34" ht="15" customHeight="1">
      <c r="A185" s="38"/>
      <c r="B185" s="233"/>
      <c r="C185" s="36"/>
      <c r="D185" s="234"/>
      <c r="E185" s="234"/>
      <c r="F185" s="235"/>
      <c r="G185" s="36"/>
      <c r="H185" s="39"/>
      <c r="I185" s="37"/>
      <c r="J185" s="38"/>
      <c r="K185" s="39"/>
      <c r="L185" s="39"/>
      <c r="M185" s="39"/>
      <c r="N185" s="39"/>
      <c r="O185" s="37"/>
      <c r="P185" s="38"/>
      <c r="Q185" s="39"/>
      <c r="R185" s="37"/>
      <c r="S185" s="38"/>
      <c r="T185" s="39"/>
      <c r="U185" s="37"/>
      <c r="V185" s="259"/>
      <c r="W185" s="38"/>
      <c r="X185" s="39"/>
      <c r="Y185" s="39"/>
      <c r="Z185" s="39"/>
      <c r="AA185" s="39"/>
      <c r="AB185" s="37"/>
      <c r="AF185" s="257"/>
      <c r="AG185" s="236"/>
      <c r="AH185" s="237"/>
    </row>
    <row r="186" spans="1:34" ht="15" customHeight="1">
      <c r="A186" s="38"/>
      <c r="B186" s="233"/>
      <c r="C186" s="36"/>
      <c r="D186" s="234"/>
      <c r="E186" s="234"/>
      <c r="F186" s="235"/>
      <c r="G186" s="36"/>
      <c r="H186" s="39"/>
      <c r="I186" s="37"/>
      <c r="J186" s="38"/>
      <c r="K186" s="39"/>
      <c r="L186" s="39"/>
      <c r="M186" s="39"/>
      <c r="N186" s="39"/>
      <c r="O186" s="37"/>
      <c r="P186" s="38"/>
      <c r="Q186" s="39"/>
      <c r="R186" s="37"/>
      <c r="S186" s="38"/>
      <c r="T186" s="39"/>
      <c r="U186" s="37"/>
      <c r="V186" s="259"/>
      <c r="W186" s="38"/>
      <c r="X186" s="39"/>
      <c r="Y186" s="39"/>
      <c r="Z186" s="39"/>
      <c r="AA186" s="39"/>
      <c r="AB186" s="37"/>
      <c r="AF186" s="257"/>
      <c r="AG186" s="236"/>
      <c r="AH186" s="237"/>
    </row>
    <row r="187" spans="1:34" ht="15" customHeight="1">
      <c r="A187" s="38"/>
      <c r="B187" s="233"/>
      <c r="C187" s="36"/>
      <c r="D187" s="234"/>
      <c r="E187" s="234"/>
      <c r="F187" s="235"/>
      <c r="G187" s="36"/>
      <c r="H187" s="39"/>
      <c r="I187" s="37"/>
      <c r="J187" s="38"/>
      <c r="K187" s="39"/>
      <c r="L187" s="39"/>
      <c r="M187" s="39"/>
      <c r="N187" s="39"/>
      <c r="O187" s="37"/>
      <c r="P187" s="38"/>
      <c r="Q187" s="39"/>
      <c r="R187" s="37"/>
      <c r="S187" s="38"/>
      <c r="T187" s="39"/>
      <c r="U187" s="37"/>
      <c r="V187" s="259"/>
      <c r="W187" s="38"/>
      <c r="X187" s="39"/>
      <c r="Y187" s="39"/>
      <c r="Z187" s="39"/>
      <c r="AA187" s="39"/>
      <c r="AB187" s="37"/>
      <c r="AF187" s="257"/>
      <c r="AG187" s="236"/>
      <c r="AH187" s="237"/>
    </row>
    <row r="188" spans="1:34" ht="15" customHeight="1">
      <c r="A188" s="38"/>
      <c r="B188" s="233"/>
      <c r="C188" s="36"/>
      <c r="D188" s="234"/>
      <c r="E188" s="234"/>
      <c r="F188" s="235"/>
      <c r="G188" s="36"/>
      <c r="H188" s="39"/>
      <c r="I188" s="37"/>
      <c r="J188" s="38"/>
      <c r="K188" s="39"/>
      <c r="L188" s="39"/>
      <c r="M188" s="39"/>
      <c r="N188" s="39"/>
      <c r="O188" s="37"/>
      <c r="P188" s="38"/>
      <c r="Q188" s="39"/>
      <c r="R188" s="37"/>
      <c r="S188" s="38"/>
      <c r="T188" s="39"/>
      <c r="U188" s="37"/>
      <c r="V188" s="259"/>
      <c r="W188" s="38"/>
      <c r="X188" s="39"/>
      <c r="Y188" s="39"/>
      <c r="Z188" s="39"/>
      <c r="AA188" s="39"/>
      <c r="AB188" s="37"/>
      <c r="AF188" s="257"/>
      <c r="AG188" s="236"/>
      <c r="AH188" s="237"/>
    </row>
    <row r="189" spans="1:34" ht="15" customHeight="1">
      <c r="A189" s="38"/>
      <c r="B189" s="233"/>
      <c r="C189" s="36"/>
      <c r="D189" s="234"/>
      <c r="E189" s="234"/>
      <c r="F189" s="235"/>
      <c r="G189" s="36"/>
      <c r="H189" s="39"/>
      <c r="I189" s="37"/>
      <c r="J189" s="38"/>
      <c r="K189" s="39"/>
      <c r="L189" s="39"/>
      <c r="M189" s="39"/>
      <c r="N189" s="39"/>
      <c r="O189" s="37"/>
      <c r="P189" s="38"/>
      <c r="Q189" s="39"/>
      <c r="R189" s="37"/>
      <c r="S189" s="38"/>
      <c r="T189" s="39"/>
      <c r="U189" s="37"/>
      <c r="V189" s="259"/>
      <c r="W189" s="38"/>
      <c r="X189" s="39"/>
      <c r="Y189" s="39"/>
      <c r="Z189" s="39"/>
      <c r="AA189" s="39"/>
      <c r="AB189" s="37"/>
      <c r="AF189" s="257"/>
      <c r="AG189" s="236"/>
      <c r="AH189" s="237"/>
    </row>
    <row r="190" spans="1:34" ht="15" customHeight="1">
      <c r="A190" s="38"/>
      <c r="B190" s="233"/>
      <c r="C190" s="36"/>
      <c r="D190" s="234"/>
      <c r="E190" s="234"/>
      <c r="F190" s="235"/>
      <c r="G190" s="36"/>
      <c r="H190" s="39"/>
      <c r="I190" s="37"/>
      <c r="J190" s="38"/>
      <c r="K190" s="39"/>
      <c r="L190" s="39"/>
      <c r="M190" s="39"/>
      <c r="N190" s="39"/>
      <c r="O190" s="37"/>
      <c r="P190" s="38"/>
      <c r="Q190" s="39"/>
      <c r="R190" s="37"/>
      <c r="S190" s="38"/>
      <c r="T190" s="39"/>
      <c r="U190" s="37"/>
      <c r="V190" s="259"/>
      <c r="W190" s="38"/>
      <c r="X190" s="39"/>
      <c r="Y190" s="39"/>
      <c r="Z190" s="39"/>
      <c r="AA190" s="39"/>
      <c r="AB190" s="37"/>
      <c r="AF190" s="257"/>
      <c r="AG190" s="236"/>
      <c r="AH190" s="237"/>
    </row>
    <row r="191" spans="1:34" ht="15" customHeight="1">
      <c r="A191" s="38"/>
      <c r="B191" s="233"/>
      <c r="C191" s="36"/>
      <c r="D191" s="234"/>
      <c r="E191" s="234"/>
      <c r="F191" s="235"/>
      <c r="G191" s="36"/>
      <c r="H191" s="39"/>
      <c r="I191" s="37"/>
      <c r="J191" s="38"/>
      <c r="K191" s="39"/>
      <c r="L191" s="39"/>
      <c r="M191" s="39"/>
      <c r="N191" s="39"/>
      <c r="O191" s="37"/>
      <c r="P191" s="38"/>
      <c r="Q191" s="39"/>
      <c r="R191" s="37"/>
      <c r="S191" s="38"/>
      <c r="T191" s="39"/>
      <c r="U191" s="37"/>
      <c r="V191" s="259"/>
      <c r="W191" s="38"/>
      <c r="X191" s="39"/>
      <c r="Y191" s="39"/>
      <c r="Z191" s="39"/>
      <c r="AA191" s="39"/>
      <c r="AB191" s="37"/>
      <c r="AF191" s="257"/>
      <c r="AG191" s="236"/>
      <c r="AH191" s="237"/>
    </row>
    <row r="192" spans="1:34" ht="15" customHeight="1">
      <c r="A192" s="38"/>
      <c r="B192" s="233"/>
      <c r="C192" s="36"/>
      <c r="D192" s="234"/>
      <c r="E192" s="234"/>
      <c r="F192" s="235"/>
      <c r="G192" s="36"/>
      <c r="H192" s="39"/>
      <c r="I192" s="37"/>
      <c r="J192" s="38"/>
      <c r="K192" s="39"/>
      <c r="L192" s="39"/>
      <c r="M192" s="39"/>
      <c r="N192" s="39"/>
      <c r="O192" s="37"/>
      <c r="P192" s="38"/>
      <c r="Q192" s="39"/>
      <c r="R192" s="37"/>
      <c r="S192" s="38"/>
      <c r="T192" s="39"/>
      <c r="U192" s="37"/>
      <c r="V192" s="259"/>
      <c r="W192" s="38"/>
      <c r="X192" s="39"/>
      <c r="Y192" s="39"/>
      <c r="Z192" s="39"/>
      <c r="AA192" s="39"/>
      <c r="AB192" s="37"/>
      <c r="AF192" s="257"/>
      <c r="AG192" s="236"/>
      <c r="AH192" s="237"/>
    </row>
    <row r="193" spans="1:34" ht="15" customHeight="1">
      <c r="A193" s="38"/>
      <c r="B193" s="233"/>
      <c r="C193" s="36"/>
      <c r="D193" s="234"/>
      <c r="E193" s="234"/>
      <c r="F193" s="235"/>
      <c r="G193" s="36"/>
      <c r="H193" s="39"/>
      <c r="I193" s="37"/>
      <c r="J193" s="38"/>
      <c r="K193" s="39"/>
      <c r="L193" s="39"/>
      <c r="M193" s="39"/>
      <c r="N193" s="39"/>
      <c r="O193" s="37"/>
      <c r="P193" s="38"/>
      <c r="Q193" s="39"/>
      <c r="R193" s="37"/>
      <c r="S193" s="38"/>
      <c r="T193" s="39"/>
      <c r="U193" s="37"/>
      <c r="V193" s="259"/>
      <c r="W193" s="38"/>
      <c r="X193" s="39"/>
      <c r="Y193" s="39"/>
      <c r="Z193" s="39"/>
      <c r="AA193" s="39"/>
      <c r="AB193" s="37"/>
      <c r="AF193" s="257"/>
      <c r="AG193" s="236"/>
      <c r="AH193" s="237"/>
    </row>
    <row r="194" spans="1:34" ht="15" customHeight="1">
      <c r="A194" s="38"/>
      <c r="B194" s="233"/>
      <c r="C194" s="36"/>
      <c r="D194" s="234"/>
      <c r="E194" s="234"/>
      <c r="F194" s="235"/>
      <c r="G194" s="36"/>
      <c r="H194" s="39"/>
      <c r="I194" s="37"/>
      <c r="J194" s="38"/>
      <c r="K194" s="39"/>
      <c r="L194" s="39"/>
      <c r="M194" s="39"/>
      <c r="N194" s="39"/>
      <c r="O194" s="37"/>
      <c r="P194" s="38"/>
      <c r="Q194" s="39"/>
      <c r="R194" s="37"/>
      <c r="S194" s="38"/>
      <c r="T194" s="39"/>
      <c r="U194" s="37"/>
      <c r="V194" s="259"/>
      <c r="W194" s="38"/>
      <c r="X194" s="39"/>
      <c r="Y194" s="39"/>
      <c r="Z194" s="39"/>
      <c r="AA194" s="39"/>
      <c r="AB194" s="37"/>
      <c r="AF194" s="257"/>
      <c r="AG194" s="236"/>
      <c r="AH194" s="237"/>
    </row>
    <row r="195" spans="1:34" ht="15" customHeight="1">
      <c r="A195" s="38"/>
      <c r="B195" s="233"/>
      <c r="C195" s="36"/>
      <c r="D195" s="234"/>
      <c r="E195" s="234"/>
      <c r="F195" s="235"/>
      <c r="G195" s="36"/>
      <c r="H195" s="39"/>
      <c r="I195" s="37"/>
      <c r="J195" s="38"/>
      <c r="K195" s="39"/>
      <c r="L195" s="39"/>
      <c r="M195" s="39"/>
      <c r="N195" s="39"/>
      <c r="O195" s="37"/>
      <c r="P195" s="38"/>
      <c r="Q195" s="39"/>
      <c r="R195" s="37"/>
      <c r="S195" s="38"/>
      <c r="T195" s="39"/>
      <c r="U195" s="37"/>
      <c r="V195" s="259"/>
      <c r="W195" s="38"/>
      <c r="X195" s="39"/>
      <c r="Y195" s="39"/>
      <c r="Z195" s="39"/>
      <c r="AA195" s="39"/>
      <c r="AB195" s="37"/>
      <c r="AF195" s="257"/>
      <c r="AG195" s="236"/>
      <c r="AH195" s="237"/>
    </row>
    <row r="196" spans="1:34" ht="15" customHeight="1">
      <c r="A196" s="38"/>
      <c r="B196" s="233"/>
      <c r="C196" s="36"/>
      <c r="D196" s="234"/>
      <c r="E196" s="234"/>
      <c r="F196" s="235"/>
      <c r="G196" s="36"/>
      <c r="H196" s="39"/>
      <c r="I196" s="37"/>
      <c r="J196" s="38"/>
      <c r="K196" s="39"/>
      <c r="L196" s="39"/>
      <c r="M196" s="39"/>
      <c r="N196" s="39"/>
      <c r="O196" s="37"/>
      <c r="P196" s="38"/>
      <c r="Q196" s="39"/>
      <c r="R196" s="37"/>
      <c r="S196" s="38"/>
      <c r="T196" s="39"/>
      <c r="U196" s="37"/>
      <c r="V196" s="259"/>
      <c r="W196" s="38"/>
      <c r="X196" s="39"/>
      <c r="Y196" s="39"/>
      <c r="Z196" s="39"/>
      <c r="AA196" s="39"/>
      <c r="AB196" s="37"/>
      <c r="AF196" s="257"/>
      <c r="AG196" s="236"/>
      <c r="AH196" s="237"/>
    </row>
    <row r="197" spans="1:34" ht="15" customHeight="1">
      <c r="A197" s="38"/>
      <c r="B197" s="233"/>
      <c r="C197" s="36"/>
      <c r="D197" s="234"/>
      <c r="E197" s="234"/>
      <c r="F197" s="235"/>
      <c r="G197" s="36"/>
      <c r="H197" s="39"/>
      <c r="I197" s="37"/>
      <c r="J197" s="38"/>
      <c r="K197" s="39"/>
      <c r="L197" s="39"/>
      <c r="M197" s="39"/>
      <c r="N197" s="39"/>
      <c r="O197" s="37"/>
      <c r="P197" s="38"/>
      <c r="Q197" s="39"/>
      <c r="R197" s="37"/>
      <c r="S197" s="38"/>
      <c r="T197" s="39"/>
      <c r="U197" s="37"/>
      <c r="V197" s="259"/>
      <c r="W197" s="38"/>
      <c r="X197" s="39"/>
      <c r="Y197" s="39"/>
      <c r="Z197" s="39"/>
      <c r="AA197" s="39"/>
      <c r="AB197" s="37"/>
      <c r="AF197" s="257"/>
      <c r="AG197" s="236"/>
      <c r="AH197" s="237"/>
    </row>
    <row r="198" spans="1:34" ht="15" customHeight="1">
      <c r="A198" s="38"/>
      <c r="B198" s="233"/>
      <c r="C198" s="36"/>
      <c r="D198" s="234"/>
      <c r="E198" s="234"/>
      <c r="F198" s="235"/>
      <c r="G198" s="36"/>
      <c r="H198" s="39"/>
      <c r="I198" s="37"/>
      <c r="J198" s="38"/>
      <c r="K198" s="39"/>
      <c r="L198" s="39"/>
      <c r="M198" s="39"/>
      <c r="N198" s="39"/>
      <c r="O198" s="37"/>
      <c r="P198" s="38"/>
      <c r="Q198" s="39"/>
      <c r="R198" s="37"/>
      <c r="S198" s="38"/>
      <c r="T198" s="39"/>
      <c r="U198" s="37"/>
      <c r="V198" s="259"/>
      <c r="W198" s="38"/>
      <c r="X198" s="39"/>
      <c r="Y198" s="39"/>
      <c r="Z198" s="39"/>
      <c r="AA198" s="39"/>
      <c r="AB198" s="37"/>
      <c r="AF198" s="257"/>
      <c r="AG198" s="236"/>
      <c r="AH198" s="237"/>
    </row>
    <row r="199" spans="1:34" ht="15" customHeight="1">
      <c r="A199" s="38"/>
      <c r="B199" s="233"/>
      <c r="C199" s="36"/>
      <c r="D199" s="234"/>
      <c r="E199" s="234"/>
      <c r="F199" s="235"/>
      <c r="G199" s="36"/>
      <c r="H199" s="39"/>
      <c r="I199" s="37"/>
      <c r="J199" s="38"/>
      <c r="K199" s="39"/>
      <c r="L199" s="39"/>
      <c r="M199" s="39"/>
      <c r="N199" s="39"/>
      <c r="O199" s="37"/>
      <c r="P199" s="38"/>
      <c r="Q199" s="39"/>
      <c r="R199" s="37"/>
      <c r="S199" s="38"/>
      <c r="T199" s="39"/>
      <c r="U199" s="37"/>
      <c r="V199" s="259"/>
      <c r="W199" s="38"/>
      <c r="X199" s="39"/>
      <c r="Y199" s="39"/>
      <c r="Z199" s="39"/>
      <c r="AA199" s="39"/>
      <c r="AB199" s="37"/>
      <c r="AF199" s="257"/>
      <c r="AG199" s="236"/>
      <c r="AH199" s="237"/>
    </row>
    <row r="200" spans="1:34" ht="15" customHeight="1">
      <c r="A200" s="38"/>
      <c r="B200" s="233"/>
      <c r="C200" s="36"/>
      <c r="D200" s="234"/>
      <c r="E200" s="234"/>
      <c r="F200" s="235"/>
      <c r="G200" s="36"/>
      <c r="H200" s="39"/>
      <c r="I200" s="37"/>
      <c r="J200" s="38"/>
      <c r="K200" s="39"/>
      <c r="L200" s="39"/>
      <c r="M200" s="39"/>
      <c r="N200" s="39"/>
      <c r="O200" s="37"/>
      <c r="P200" s="38"/>
      <c r="Q200" s="39"/>
      <c r="R200" s="37"/>
      <c r="S200" s="38"/>
      <c r="T200" s="39"/>
      <c r="U200" s="37"/>
      <c r="V200" s="259"/>
      <c r="W200" s="38"/>
      <c r="X200" s="39"/>
      <c r="Y200" s="39"/>
      <c r="Z200" s="39"/>
      <c r="AA200" s="39"/>
      <c r="AB200" s="37"/>
      <c r="AF200" s="257"/>
      <c r="AG200" s="236"/>
      <c r="AH200" s="237"/>
    </row>
    <row r="201" spans="1:34" ht="15" customHeight="1">
      <c r="A201" s="38"/>
      <c r="B201" s="233"/>
      <c r="C201" s="36"/>
      <c r="D201" s="234"/>
      <c r="E201" s="234"/>
      <c r="F201" s="235"/>
      <c r="G201" s="36"/>
      <c r="H201" s="39"/>
      <c r="I201" s="37"/>
      <c r="J201" s="38"/>
      <c r="K201" s="39"/>
      <c r="L201" s="39"/>
      <c r="M201" s="39"/>
      <c r="N201" s="39"/>
      <c r="O201" s="37"/>
      <c r="P201" s="38"/>
      <c r="Q201" s="39"/>
      <c r="R201" s="37"/>
      <c r="S201" s="38"/>
      <c r="T201" s="39"/>
      <c r="U201" s="37"/>
      <c r="V201" s="259"/>
      <c r="W201" s="38"/>
      <c r="X201" s="39"/>
      <c r="Y201" s="39"/>
      <c r="Z201" s="39"/>
      <c r="AA201" s="39"/>
      <c r="AB201" s="37"/>
      <c r="AF201" s="257"/>
      <c r="AG201" s="236"/>
      <c r="AH201" s="237"/>
    </row>
    <row r="202" spans="1:34" ht="15" customHeight="1">
      <c r="A202" s="38"/>
      <c r="B202" s="233"/>
      <c r="C202" s="36"/>
      <c r="D202" s="234"/>
      <c r="E202" s="234"/>
      <c r="F202" s="235"/>
      <c r="G202" s="36"/>
      <c r="H202" s="39"/>
      <c r="I202" s="37"/>
      <c r="J202" s="38"/>
      <c r="K202" s="39"/>
      <c r="L202" s="39"/>
      <c r="M202" s="39"/>
      <c r="N202" s="39"/>
      <c r="O202" s="37"/>
      <c r="P202" s="38"/>
      <c r="Q202" s="39"/>
      <c r="R202" s="37"/>
      <c r="S202" s="38"/>
      <c r="T202" s="39"/>
      <c r="U202" s="37"/>
      <c r="V202" s="259"/>
      <c r="W202" s="38"/>
      <c r="X202" s="39"/>
      <c r="Y202" s="39"/>
      <c r="Z202" s="39"/>
      <c r="AA202" s="39"/>
      <c r="AB202" s="37"/>
      <c r="AF202" s="257"/>
      <c r="AG202" s="236"/>
      <c r="AH202" s="237"/>
    </row>
    <row r="203" spans="1:34" ht="15" customHeight="1">
      <c r="A203" s="38"/>
      <c r="B203" s="233"/>
      <c r="C203" s="36"/>
      <c r="D203" s="234"/>
      <c r="E203" s="234"/>
      <c r="F203" s="235"/>
      <c r="G203" s="36"/>
      <c r="H203" s="39"/>
      <c r="I203" s="37"/>
      <c r="J203" s="38"/>
      <c r="K203" s="39"/>
      <c r="L203" s="39"/>
      <c r="M203" s="39"/>
      <c r="N203" s="39"/>
      <c r="O203" s="37"/>
      <c r="P203" s="38"/>
      <c r="Q203" s="39"/>
      <c r="R203" s="37"/>
      <c r="S203" s="38"/>
      <c r="T203" s="39"/>
      <c r="U203" s="37"/>
      <c r="V203" s="259"/>
      <c r="W203" s="38"/>
      <c r="X203" s="39"/>
      <c r="Y203" s="39"/>
      <c r="Z203" s="39"/>
      <c r="AA203" s="39"/>
      <c r="AB203" s="37"/>
      <c r="AF203" s="257"/>
      <c r="AG203" s="236"/>
      <c r="AH203" s="237"/>
    </row>
    <row r="204" spans="1:34" ht="15" customHeight="1">
      <c r="A204" s="38"/>
      <c r="B204" s="233"/>
      <c r="C204" s="36"/>
      <c r="D204" s="234"/>
      <c r="E204" s="234"/>
      <c r="F204" s="235"/>
      <c r="G204" s="36"/>
      <c r="H204" s="39"/>
      <c r="I204" s="37"/>
      <c r="J204" s="38"/>
      <c r="K204" s="39"/>
      <c r="L204" s="39"/>
      <c r="M204" s="39"/>
      <c r="N204" s="39"/>
      <c r="O204" s="37"/>
      <c r="P204" s="38"/>
      <c r="Q204" s="39"/>
      <c r="R204" s="37"/>
      <c r="S204" s="38"/>
      <c r="T204" s="39"/>
      <c r="U204" s="37"/>
      <c r="V204" s="259"/>
      <c r="W204" s="38"/>
      <c r="X204" s="39"/>
      <c r="Y204" s="39"/>
      <c r="Z204" s="39"/>
      <c r="AA204" s="39"/>
      <c r="AB204" s="37"/>
      <c r="AF204" s="257"/>
      <c r="AG204" s="236"/>
      <c r="AH204" s="237"/>
    </row>
    <row r="205" spans="1:34" ht="15" customHeight="1">
      <c r="A205" s="38"/>
      <c r="B205" s="233"/>
      <c r="C205" s="36"/>
      <c r="D205" s="39"/>
      <c r="E205" s="39"/>
      <c r="F205" s="235"/>
      <c r="G205" s="36"/>
      <c r="H205" s="39"/>
      <c r="I205" s="37"/>
      <c r="J205" s="38"/>
      <c r="K205" s="39"/>
      <c r="L205" s="39"/>
      <c r="M205" s="39"/>
      <c r="N205" s="39"/>
      <c r="O205" s="37"/>
      <c r="P205" s="38"/>
      <c r="Q205" s="39"/>
      <c r="R205" s="37"/>
      <c r="S205" s="38"/>
      <c r="T205" s="39"/>
      <c r="U205" s="37"/>
      <c r="V205" s="259"/>
      <c r="W205" s="38"/>
      <c r="X205" s="39"/>
      <c r="Y205" s="39"/>
      <c r="Z205" s="39"/>
      <c r="AA205" s="39"/>
      <c r="AB205" s="37"/>
      <c r="AF205" s="257"/>
      <c r="AG205" s="236"/>
      <c r="AH205" s="237"/>
    </row>
    <row r="206" spans="1:34" ht="15" customHeight="1">
      <c r="A206" s="38"/>
      <c r="B206" s="233"/>
      <c r="C206" s="36"/>
      <c r="D206" s="39"/>
      <c r="E206" s="39"/>
      <c r="F206" s="235"/>
      <c r="G206" s="36"/>
      <c r="H206" s="39"/>
      <c r="I206" s="37"/>
      <c r="J206" s="38"/>
      <c r="K206" s="39"/>
      <c r="L206" s="39"/>
      <c r="M206" s="39"/>
      <c r="N206" s="39"/>
      <c r="O206" s="37"/>
      <c r="P206" s="38"/>
      <c r="Q206" s="39"/>
      <c r="R206" s="37"/>
      <c r="S206" s="38"/>
      <c r="T206" s="39"/>
      <c r="U206" s="37"/>
      <c r="V206" s="259"/>
      <c r="W206" s="38"/>
      <c r="X206" s="39"/>
      <c r="Y206" s="39"/>
      <c r="Z206" s="39"/>
      <c r="AA206" s="39"/>
      <c r="AB206" s="37"/>
      <c r="AF206" s="257"/>
      <c r="AG206" s="236"/>
      <c r="AH206" s="237"/>
    </row>
    <row r="207" spans="1:34" ht="15" customHeight="1">
      <c r="A207" s="38"/>
      <c r="B207" s="233"/>
      <c r="C207" s="36"/>
      <c r="D207" s="39"/>
      <c r="E207" s="39"/>
      <c r="F207" s="235"/>
      <c r="G207" s="36"/>
      <c r="H207" s="39"/>
      <c r="I207" s="37"/>
      <c r="J207" s="38"/>
      <c r="K207" s="39"/>
      <c r="L207" s="39"/>
      <c r="M207" s="39"/>
      <c r="N207" s="39"/>
      <c r="O207" s="37"/>
      <c r="P207" s="38"/>
      <c r="Q207" s="39"/>
      <c r="R207" s="37"/>
      <c r="S207" s="38"/>
      <c r="T207" s="39"/>
      <c r="U207" s="37"/>
      <c r="V207" s="259"/>
      <c r="W207" s="38"/>
      <c r="X207" s="39"/>
      <c r="Y207" s="39"/>
      <c r="Z207" s="39"/>
      <c r="AA207" s="39"/>
      <c r="AB207" s="37"/>
      <c r="AF207" s="257"/>
      <c r="AG207" s="236"/>
      <c r="AH207" s="237"/>
    </row>
    <row r="208" spans="1:34" ht="15" customHeight="1">
      <c r="A208" s="38"/>
      <c r="B208" s="233"/>
      <c r="C208" s="36"/>
      <c r="D208" s="39"/>
      <c r="E208" s="39"/>
      <c r="F208" s="235"/>
      <c r="G208" s="36"/>
      <c r="H208" s="39"/>
      <c r="I208" s="37"/>
      <c r="J208" s="38"/>
      <c r="K208" s="39"/>
      <c r="L208" s="39"/>
      <c r="M208" s="39"/>
      <c r="N208" s="39"/>
      <c r="O208" s="37"/>
      <c r="P208" s="38"/>
      <c r="Q208" s="39"/>
      <c r="R208" s="37"/>
      <c r="S208" s="38"/>
      <c r="T208" s="39"/>
      <c r="U208" s="37"/>
      <c r="V208" s="259"/>
      <c r="W208" s="38"/>
      <c r="X208" s="39"/>
      <c r="Y208" s="39"/>
      <c r="Z208" s="39"/>
      <c r="AA208" s="39"/>
      <c r="AB208" s="37"/>
      <c r="AF208" s="257"/>
      <c r="AG208" s="236"/>
      <c r="AH208" s="237"/>
    </row>
    <row r="209" spans="1:34" ht="15" customHeight="1">
      <c r="A209" s="38"/>
      <c r="B209" s="233"/>
      <c r="C209" s="36"/>
      <c r="D209" s="39"/>
      <c r="E209" s="39"/>
      <c r="F209" s="235"/>
      <c r="G209" s="36"/>
      <c r="H209" s="39"/>
      <c r="I209" s="37"/>
      <c r="J209" s="38"/>
      <c r="K209" s="39"/>
      <c r="L209" s="39"/>
      <c r="M209" s="39"/>
      <c r="N209" s="39"/>
      <c r="O209" s="37"/>
      <c r="P209" s="38"/>
      <c r="Q209" s="39"/>
      <c r="R209" s="37"/>
      <c r="S209" s="38"/>
      <c r="T209" s="39"/>
      <c r="U209" s="37"/>
      <c r="V209" s="259"/>
      <c r="W209" s="38"/>
      <c r="X209" s="39"/>
      <c r="Y209" s="39"/>
      <c r="Z209" s="39"/>
      <c r="AA209" s="39"/>
      <c r="AB209" s="37"/>
      <c r="AF209" s="257"/>
      <c r="AG209" s="236"/>
      <c r="AH209" s="237"/>
    </row>
    <row r="210" spans="1:34" ht="15" customHeight="1">
      <c r="A210" s="38"/>
      <c r="B210" s="233"/>
      <c r="C210" s="36"/>
      <c r="D210" s="39"/>
      <c r="E210" s="39"/>
      <c r="F210" s="235"/>
      <c r="G210" s="36"/>
      <c r="H210" s="39"/>
      <c r="I210" s="37"/>
      <c r="J210" s="38"/>
      <c r="K210" s="39"/>
      <c r="L210" s="39"/>
      <c r="M210" s="39"/>
      <c r="N210" s="39"/>
      <c r="O210" s="37"/>
      <c r="P210" s="38"/>
      <c r="Q210" s="39"/>
      <c r="R210" s="37"/>
      <c r="S210" s="38"/>
      <c r="T210" s="39"/>
      <c r="U210" s="37"/>
      <c r="V210" s="259"/>
      <c r="W210" s="38"/>
      <c r="X210" s="39"/>
      <c r="Y210" s="39"/>
      <c r="Z210" s="39"/>
      <c r="AA210" s="39"/>
      <c r="AB210" s="37"/>
      <c r="AF210" s="257"/>
      <c r="AG210" s="236"/>
      <c r="AH210" s="237"/>
    </row>
    <row r="211" spans="1:34" ht="15" customHeight="1">
      <c r="A211" s="38"/>
      <c r="B211" s="233"/>
      <c r="C211" s="36"/>
      <c r="D211" s="39"/>
      <c r="E211" s="39"/>
      <c r="F211" s="235"/>
      <c r="G211" s="36"/>
      <c r="H211" s="39"/>
      <c r="I211" s="37"/>
      <c r="J211" s="38"/>
      <c r="K211" s="39"/>
      <c r="L211" s="39"/>
      <c r="M211" s="39"/>
      <c r="N211" s="39"/>
      <c r="O211" s="37"/>
      <c r="P211" s="38"/>
      <c r="Q211" s="39"/>
      <c r="R211" s="37"/>
      <c r="S211" s="38"/>
      <c r="T211" s="39"/>
      <c r="U211" s="37"/>
      <c r="V211" s="259"/>
      <c r="W211" s="38"/>
      <c r="X211" s="39"/>
      <c r="Y211" s="39"/>
      <c r="Z211" s="39"/>
      <c r="AA211" s="39"/>
      <c r="AB211" s="37"/>
      <c r="AF211" s="257"/>
      <c r="AG211" s="236"/>
      <c r="AH211" s="237"/>
    </row>
    <row r="212" spans="1:34" ht="15" customHeight="1">
      <c r="A212" s="38"/>
      <c r="B212" s="233"/>
      <c r="C212" s="36"/>
      <c r="D212" s="39"/>
      <c r="E212" s="39"/>
      <c r="F212" s="235"/>
      <c r="G212" s="36"/>
      <c r="H212" s="39"/>
      <c r="I212" s="37"/>
      <c r="J212" s="38"/>
      <c r="K212" s="39"/>
      <c r="L212" s="39"/>
      <c r="M212" s="39"/>
      <c r="N212" s="39"/>
      <c r="O212" s="37"/>
      <c r="P212" s="38"/>
      <c r="Q212" s="39"/>
      <c r="R212" s="37"/>
      <c r="S212" s="38"/>
      <c r="T212" s="39"/>
      <c r="U212" s="37"/>
      <c r="V212" s="259"/>
      <c r="W212" s="38"/>
      <c r="X212" s="39"/>
      <c r="Y212" s="39"/>
      <c r="Z212" s="39"/>
      <c r="AA212" s="39"/>
      <c r="AB212" s="37"/>
      <c r="AF212" s="257"/>
      <c r="AG212" s="236"/>
      <c r="AH212" s="237"/>
    </row>
    <row r="213" spans="1:34" ht="15" customHeight="1">
      <c r="A213" s="38"/>
      <c r="B213" s="233"/>
      <c r="C213" s="36"/>
      <c r="D213" s="39"/>
      <c r="E213" s="39"/>
      <c r="F213" s="235"/>
      <c r="G213" s="36"/>
      <c r="H213" s="39"/>
      <c r="I213" s="37"/>
      <c r="J213" s="38"/>
      <c r="K213" s="39"/>
      <c r="L213" s="39"/>
      <c r="M213" s="39"/>
      <c r="N213" s="39"/>
      <c r="O213" s="37"/>
      <c r="P213" s="38"/>
      <c r="Q213" s="39"/>
      <c r="R213" s="37"/>
      <c r="S213" s="38"/>
      <c r="T213" s="39"/>
      <c r="U213" s="37"/>
      <c r="V213" s="259"/>
      <c r="W213" s="38"/>
      <c r="X213" s="39"/>
      <c r="Y213" s="39"/>
      <c r="Z213" s="39"/>
      <c r="AA213" s="39"/>
      <c r="AB213" s="37"/>
      <c r="AF213" s="257"/>
      <c r="AG213" s="236"/>
      <c r="AH213" s="237"/>
    </row>
    <row r="214" spans="1:34" ht="15" customHeight="1">
      <c r="A214" s="38"/>
      <c r="B214" s="233"/>
      <c r="C214" s="36"/>
      <c r="D214" s="39"/>
      <c r="E214" s="39"/>
      <c r="F214" s="235"/>
      <c r="G214" s="36"/>
      <c r="H214" s="39"/>
      <c r="I214" s="37"/>
      <c r="J214" s="38"/>
      <c r="K214" s="39"/>
      <c r="L214" s="39"/>
      <c r="M214" s="39"/>
      <c r="N214" s="39"/>
      <c r="O214" s="37"/>
      <c r="P214" s="38"/>
      <c r="Q214" s="39"/>
      <c r="R214" s="37"/>
      <c r="S214" s="38"/>
      <c r="T214" s="39"/>
      <c r="U214" s="37"/>
      <c r="V214" s="259"/>
      <c r="W214" s="38"/>
      <c r="X214" s="39"/>
      <c r="Y214" s="39"/>
      <c r="Z214" s="39"/>
      <c r="AA214" s="39"/>
      <c r="AB214" s="37"/>
      <c r="AF214" s="257"/>
      <c r="AG214" s="236"/>
      <c r="AH214" s="237"/>
    </row>
    <row r="215" spans="1:34" ht="15" customHeight="1">
      <c r="A215" s="38"/>
      <c r="B215" s="233"/>
      <c r="C215" s="36"/>
      <c r="D215" s="39"/>
      <c r="E215" s="39"/>
      <c r="F215" s="235"/>
      <c r="G215" s="36"/>
      <c r="H215" s="39"/>
      <c r="I215" s="37"/>
      <c r="J215" s="38"/>
      <c r="K215" s="39"/>
      <c r="L215" s="39"/>
      <c r="M215" s="39"/>
      <c r="N215" s="39"/>
      <c r="O215" s="37"/>
      <c r="P215" s="38"/>
      <c r="Q215" s="39"/>
      <c r="R215" s="37"/>
      <c r="S215" s="38"/>
      <c r="T215" s="39"/>
      <c r="U215" s="37"/>
      <c r="V215" s="259"/>
      <c r="W215" s="38"/>
      <c r="X215" s="39"/>
      <c r="Y215" s="39"/>
      <c r="Z215" s="39"/>
      <c r="AA215" s="39"/>
      <c r="AB215" s="37"/>
      <c r="AF215" s="257"/>
      <c r="AG215" s="236"/>
      <c r="AH215" s="237"/>
    </row>
    <row r="216" spans="1:34" ht="15" customHeight="1">
      <c r="A216" s="38"/>
      <c r="B216" s="233"/>
      <c r="C216" s="36"/>
      <c r="D216" s="39"/>
      <c r="E216" s="39"/>
      <c r="F216" s="235"/>
      <c r="G216" s="36"/>
      <c r="H216" s="39"/>
      <c r="I216" s="37"/>
      <c r="J216" s="38"/>
      <c r="K216" s="39"/>
      <c r="L216" s="39"/>
      <c r="M216" s="39"/>
      <c r="N216" s="39"/>
      <c r="O216" s="37"/>
      <c r="P216" s="38"/>
      <c r="Q216" s="39"/>
      <c r="R216" s="37"/>
      <c r="S216" s="38"/>
      <c r="T216" s="39"/>
      <c r="U216" s="37"/>
      <c r="V216" s="259"/>
      <c r="W216" s="38"/>
      <c r="X216" s="39"/>
      <c r="Y216" s="39"/>
      <c r="Z216" s="39"/>
      <c r="AA216" s="39"/>
      <c r="AB216" s="37"/>
      <c r="AF216" s="257"/>
      <c r="AG216" s="236"/>
      <c r="AH216" s="237"/>
    </row>
    <row r="217" spans="1:34" ht="15" customHeight="1">
      <c r="A217" s="38"/>
      <c r="B217" s="233"/>
      <c r="C217" s="36"/>
      <c r="D217" s="39"/>
      <c r="E217" s="39"/>
      <c r="F217" s="235"/>
      <c r="G217" s="36"/>
      <c r="H217" s="39"/>
      <c r="I217" s="37"/>
      <c r="J217" s="38"/>
      <c r="K217" s="39"/>
      <c r="L217" s="39"/>
      <c r="M217" s="39"/>
      <c r="N217" s="39"/>
      <c r="O217" s="37"/>
      <c r="P217" s="38"/>
      <c r="Q217" s="39"/>
      <c r="R217" s="37"/>
      <c r="S217" s="38"/>
      <c r="T217" s="39"/>
      <c r="U217" s="37"/>
      <c r="V217" s="259"/>
      <c r="W217" s="38"/>
      <c r="X217" s="39"/>
      <c r="Y217" s="39"/>
      <c r="Z217" s="39"/>
      <c r="AA217" s="39"/>
      <c r="AB217" s="37"/>
      <c r="AF217" s="257"/>
      <c r="AG217" s="236"/>
      <c r="AH217" s="237"/>
    </row>
    <row r="218" spans="1:34" ht="15" customHeight="1">
      <c r="A218" s="38"/>
      <c r="B218" s="233"/>
      <c r="C218" s="36"/>
      <c r="D218" s="39"/>
      <c r="E218" s="39"/>
      <c r="F218" s="235"/>
      <c r="G218" s="36"/>
      <c r="H218" s="39"/>
      <c r="I218" s="37"/>
      <c r="J218" s="38"/>
      <c r="K218" s="39"/>
      <c r="L218" s="39"/>
      <c r="M218" s="39"/>
      <c r="N218" s="39"/>
      <c r="O218" s="37"/>
      <c r="P218" s="38"/>
      <c r="Q218" s="39"/>
      <c r="R218" s="37"/>
      <c r="S218" s="38"/>
      <c r="T218" s="39"/>
      <c r="U218" s="37"/>
      <c r="V218" s="259"/>
      <c r="W218" s="38"/>
      <c r="X218" s="39"/>
      <c r="Y218" s="39"/>
      <c r="Z218" s="39"/>
      <c r="AA218" s="39"/>
      <c r="AB218" s="37"/>
      <c r="AF218" s="257"/>
      <c r="AG218" s="236"/>
      <c r="AH218" s="237"/>
    </row>
    <row r="219" spans="1:34" ht="15" customHeight="1">
      <c r="A219" s="38"/>
      <c r="B219" s="233"/>
      <c r="C219" s="36"/>
      <c r="D219" s="39"/>
      <c r="E219" s="39"/>
      <c r="F219" s="235"/>
      <c r="G219" s="36"/>
      <c r="H219" s="39"/>
      <c r="I219" s="37"/>
      <c r="J219" s="38"/>
      <c r="K219" s="39"/>
      <c r="L219" s="39"/>
      <c r="M219" s="39"/>
      <c r="N219" s="39"/>
      <c r="O219" s="37"/>
      <c r="P219" s="38"/>
      <c r="Q219" s="39"/>
      <c r="R219" s="37"/>
      <c r="S219" s="38"/>
      <c r="T219" s="39"/>
      <c r="U219" s="37"/>
      <c r="V219" s="259"/>
      <c r="W219" s="38"/>
      <c r="X219" s="39"/>
      <c r="Y219" s="39"/>
      <c r="Z219" s="39"/>
      <c r="AA219" s="39"/>
      <c r="AB219" s="37"/>
      <c r="AF219" s="257"/>
      <c r="AG219" s="236"/>
      <c r="AH219" s="237"/>
    </row>
    <row r="220" spans="1:34" ht="15" customHeight="1">
      <c r="A220" s="38"/>
      <c r="B220" s="233"/>
      <c r="C220" s="36"/>
      <c r="D220" s="39"/>
      <c r="E220" s="39"/>
      <c r="F220" s="235"/>
      <c r="G220" s="36"/>
      <c r="H220" s="39"/>
      <c r="I220" s="37"/>
      <c r="J220" s="38"/>
      <c r="K220" s="39"/>
      <c r="L220" s="39"/>
      <c r="M220" s="39"/>
      <c r="N220" s="39"/>
      <c r="O220" s="37"/>
      <c r="P220" s="38"/>
      <c r="Q220" s="39"/>
      <c r="R220" s="37"/>
      <c r="S220" s="38"/>
      <c r="T220" s="39"/>
      <c r="U220" s="37"/>
      <c r="V220" s="259"/>
      <c r="W220" s="38"/>
      <c r="X220" s="39"/>
      <c r="Y220" s="39"/>
      <c r="Z220" s="39"/>
      <c r="AA220" s="39"/>
      <c r="AB220" s="37"/>
      <c r="AF220" s="257"/>
      <c r="AG220" s="236"/>
      <c r="AH220" s="237"/>
    </row>
    <row r="221" spans="1:34" ht="15" customHeight="1">
      <c r="A221" s="38"/>
      <c r="B221" s="233"/>
      <c r="C221" s="36"/>
      <c r="D221" s="39"/>
      <c r="E221" s="39"/>
      <c r="F221" s="235"/>
      <c r="G221" s="36"/>
      <c r="H221" s="39"/>
      <c r="I221" s="37"/>
      <c r="J221" s="38"/>
      <c r="K221" s="39"/>
      <c r="L221" s="39"/>
      <c r="M221" s="39"/>
      <c r="N221" s="39"/>
      <c r="O221" s="37"/>
      <c r="P221" s="38"/>
      <c r="Q221" s="39"/>
      <c r="R221" s="37"/>
      <c r="S221" s="38"/>
      <c r="T221" s="39"/>
      <c r="U221" s="37"/>
      <c r="V221" s="259"/>
      <c r="W221" s="38"/>
      <c r="X221" s="39"/>
      <c r="Y221" s="39"/>
      <c r="Z221" s="39"/>
      <c r="AA221" s="39"/>
      <c r="AB221" s="37"/>
      <c r="AF221" s="257"/>
      <c r="AG221" s="236"/>
      <c r="AH221" s="237"/>
    </row>
    <row r="222" spans="1:34" ht="15" customHeight="1">
      <c r="A222" s="38"/>
      <c r="B222" s="233"/>
      <c r="C222" s="36"/>
      <c r="D222" s="39"/>
      <c r="E222" s="39"/>
      <c r="F222" s="235"/>
      <c r="G222" s="36"/>
      <c r="H222" s="39"/>
      <c r="I222" s="37"/>
      <c r="J222" s="38"/>
      <c r="K222" s="39"/>
      <c r="L222" s="39"/>
      <c r="M222" s="39"/>
      <c r="N222" s="39"/>
      <c r="O222" s="37"/>
      <c r="P222" s="38"/>
      <c r="Q222" s="39"/>
      <c r="R222" s="37"/>
      <c r="S222" s="38"/>
      <c r="T222" s="39"/>
      <c r="U222" s="37"/>
      <c r="V222" s="259"/>
      <c r="W222" s="38"/>
      <c r="X222" s="39"/>
      <c r="Y222" s="39"/>
      <c r="Z222" s="39"/>
      <c r="AA222" s="39"/>
      <c r="AB222" s="37"/>
      <c r="AF222" s="257"/>
      <c r="AG222" s="236"/>
      <c r="AH222" s="237"/>
    </row>
    <row r="223" spans="1:34" ht="15" customHeight="1">
      <c r="A223" s="38"/>
      <c r="B223" s="233"/>
      <c r="C223" s="36"/>
      <c r="D223" s="39"/>
      <c r="E223" s="39"/>
      <c r="F223" s="235"/>
      <c r="G223" s="36"/>
      <c r="H223" s="39"/>
      <c r="I223" s="37"/>
      <c r="J223" s="38"/>
      <c r="K223" s="39"/>
      <c r="L223" s="39"/>
      <c r="M223" s="39"/>
      <c r="N223" s="39"/>
      <c r="O223" s="37"/>
      <c r="P223" s="38"/>
      <c r="Q223" s="39"/>
      <c r="R223" s="37"/>
      <c r="S223" s="38"/>
      <c r="T223" s="39"/>
      <c r="U223" s="37"/>
      <c r="V223" s="259"/>
      <c r="W223" s="38"/>
      <c r="X223" s="39"/>
      <c r="Y223" s="39"/>
      <c r="Z223" s="39"/>
      <c r="AA223" s="39"/>
      <c r="AB223" s="37"/>
      <c r="AF223" s="257"/>
      <c r="AG223" s="236"/>
      <c r="AH223" s="237"/>
    </row>
    <row r="224" spans="1:34" ht="15" customHeight="1">
      <c r="A224" s="38"/>
      <c r="B224" s="233"/>
      <c r="C224" s="36"/>
      <c r="D224" s="39"/>
      <c r="E224" s="39"/>
      <c r="F224" s="235"/>
      <c r="G224" s="36"/>
      <c r="H224" s="39"/>
      <c r="I224" s="37"/>
      <c r="J224" s="38"/>
      <c r="K224" s="39"/>
      <c r="L224" s="39"/>
      <c r="M224" s="39"/>
      <c r="N224" s="39"/>
      <c r="O224" s="37"/>
      <c r="P224" s="38"/>
      <c r="Q224" s="39"/>
      <c r="R224" s="37"/>
      <c r="S224" s="38"/>
      <c r="T224" s="39"/>
      <c r="U224" s="37"/>
      <c r="V224" s="259"/>
      <c r="W224" s="38"/>
      <c r="X224" s="39"/>
      <c r="Y224" s="39"/>
      <c r="Z224" s="39"/>
      <c r="AA224" s="39"/>
      <c r="AB224" s="37"/>
      <c r="AF224" s="257"/>
      <c r="AG224" s="236"/>
      <c r="AH224" s="237"/>
    </row>
    <row r="225" spans="1:34" ht="15" customHeight="1">
      <c r="A225" s="38"/>
      <c r="B225" s="233"/>
      <c r="C225" s="36"/>
      <c r="D225" s="39"/>
      <c r="E225" s="39"/>
      <c r="F225" s="235"/>
      <c r="G225" s="36"/>
      <c r="H225" s="39"/>
      <c r="I225" s="37"/>
      <c r="J225" s="38"/>
      <c r="K225" s="39"/>
      <c r="L225" s="39"/>
      <c r="M225" s="39"/>
      <c r="N225" s="39"/>
      <c r="O225" s="37"/>
      <c r="P225" s="38"/>
      <c r="Q225" s="39"/>
      <c r="R225" s="37"/>
      <c r="S225" s="38"/>
      <c r="T225" s="39"/>
      <c r="U225" s="37"/>
      <c r="V225" s="259"/>
      <c r="W225" s="38"/>
      <c r="X225" s="39"/>
      <c r="Y225" s="39"/>
      <c r="Z225" s="39"/>
      <c r="AA225" s="39"/>
      <c r="AB225" s="37"/>
      <c r="AF225" s="257"/>
      <c r="AG225" s="236"/>
      <c r="AH225" s="237"/>
    </row>
    <row r="226" spans="1:34" ht="15" customHeight="1">
      <c r="A226" s="38"/>
      <c r="B226" s="233"/>
      <c r="C226" s="36"/>
      <c r="D226" s="39"/>
      <c r="E226" s="39"/>
      <c r="F226" s="235"/>
      <c r="G226" s="36"/>
      <c r="H226" s="39"/>
      <c r="I226" s="37"/>
      <c r="J226" s="38"/>
      <c r="K226" s="39"/>
      <c r="L226" s="39"/>
      <c r="M226" s="39"/>
      <c r="N226" s="39"/>
      <c r="O226" s="37"/>
      <c r="P226" s="38"/>
      <c r="Q226" s="39"/>
      <c r="R226" s="37"/>
      <c r="S226" s="38"/>
      <c r="T226" s="39"/>
      <c r="U226" s="37"/>
      <c r="V226" s="259"/>
      <c r="W226" s="38"/>
      <c r="X226" s="39"/>
      <c r="Y226" s="39"/>
      <c r="Z226" s="39"/>
      <c r="AA226" s="39"/>
      <c r="AB226" s="37"/>
      <c r="AF226" s="257"/>
      <c r="AG226" s="236"/>
      <c r="AH226" s="237"/>
    </row>
    <row r="227" spans="1:34" ht="15" customHeight="1">
      <c r="A227" s="38"/>
      <c r="B227" s="233"/>
      <c r="C227" s="36"/>
      <c r="D227" s="39"/>
      <c r="E227" s="39"/>
      <c r="F227" s="235"/>
      <c r="G227" s="36"/>
      <c r="H227" s="39"/>
      <c r="I227" s="37"/>
      <c r="J227" s="38"/>
      <c r="K227" s="39"/>
      <c r="L227" s="39"/>
      <c r="M227" s="39"/>
      <c r="N227" s="39"/>
      <c r="O227" s="37"/>
      <c r="P227" s="38"/>
      <c r="Q227" s="39"/>
      <c r="R227" s="37"/>
      <c r="S227" s="38"/>
      <c r="T227" s="39"/>
      <c r="U227" s="37"/>
      <c r="V227" s="259"/>
      <c r="W227" s="38"/>
      <c r="X227" s="39"/>
      <c r="Y227" s="39"/>
      <c r="Z227" s="39"/>
      <c r="AA227" s="39"/>
      <c r="AB227" s="37"/>
      <c r="AF227" s="257"/>
      <c r="AG227" s="236"/>
      <c r="AH227" s="237"/>
    </row>
    <row r="228" spans="1:34" ht="15" customHeight="1">
      <c r="A228" s="38"/>
      <c r="B228" s="233"/>
      <c r="C228" s="36"/>
      <c r="D228" s="39"/>
      <c r="E228" s="39"/>
      <c r="F228" s="235"/>
      <c r="G228" s="36"/>
      <c r="H228" s="39"/>
      <c r="I228" s="37"/>
      <c r="J228" s="38"/>
      <c r="K228" s="39"/>
      <c r="L228" s="39"/>
      <c r="M228" s="39"/>
      <c r="N228" s="39"/>
      <c r="O228" s="37"/>
      <c r="P228" s="38"/>
      <c r="Q228" s="39"/>
      <c r="R228" s="37"/>
      <c r="S228" s="38"/>
      <c r="T228" s="39"/>
      <c r="U228" s="37"/>
      <c r="V228" s="259"/>
      <c r="W228" s="38"/>
      <c r="X228" s="39"/>
      <c r="Y228" s="39"/>
      <c r="Z228" s="39"/>
      <c r="AA228" s="39"/>
      <c r="AB228" s="37"/>
      <c r="AF228" s="257"/>
      <c r="AG228" s="236"/>
      <c r="AH228" s="237"/>
    </row>
    <row r="229" spans="1:34" ht="15" customHeight="1">
      <c r="A229" s="38"/>
      <c r="B229" s="233"/>
      <c r="C229" s="36"/>
      <c r="D229" s="39"/>
      <c r="E229" s="39"/>
      <c r="F229" s="235"/>
      <c r="G229" s="36"/>
      <c r="H229" s="39"/>
      <c r="I229" s="37"/>
      <c r="J229" s="38"/>
      <c r="K229" s="39"/>
      <c r="L229" s="39"/>
      <c r="M229" s="39"/>
      <c r="N229" s="39"/>
      <c r="O229" s="37"/>
      <c r="P229" s="38"/>
      <c r="Q229" s="39"/>
      <c r="R229" s="37"/>
      <c r="S229" s="38"/>
      <c r="T229" s="39"/>
      <c r="U229" s="37"/>
      <c r="V229" s="259"/>
      <c r="W229" s="38"/>
      <c r="X229" s="39"/>
      <c r="Y229" s="39"/>
      <c r="Z229" s="39"/>
      <c r="AA229" s="39"/>
      <c r="AB229" s="37"/>
      <c r="AF229" s="257"/>
      <c r="AG229" s="236"/>
      <c r="AH229" s="237"/>
    </row>
    <row r="230" spans="1:34" ht="15" customHeight="1">
      <c r="A230" s="38"/>
      <c r="B230" s="233"/>
      <c r="C230" s="36"/>
      <c r="D230" s="39"/>
      <c r="E230" s="39"/>
      <c r="F230" s="235"/>
      <c r="G230" s="36"/>
      <c r="H230" s="39"/>
      <c r="I230" s="37"/>
      <c r="J230" s="38"/>
      <c r="K230" s="39"/>
      <c r="L230" s="39"/>
      <c r="M230" s="39"/>
      <c r="N230" s="39"/>
      <c r="O230" s="37"/>
      <c r="P230" s="38"/>
      <c r="Q230" s="39"/>
      <c r="R230" s="37"/>
      <c r="S230" s="38"/>
      <c r="T230" s="39"/>
      <c r="U230" s="37"/>
      <c r="V230" s="259"/>
      <c r="W230" s="38"/>
      <c r="X230" s="39"/>
      <c r="Y230" s="39"/>
      <c r="Z230" s="39"/>
      <c r="AA230" s="39"/>
      <c r="AB230" s="37"/>
      <c r="AF230" s="257"/>
      <c r="AG230" s="236"/>
      <c r="AH230" s="237"/>
    </row>
    <row r="231" spans="1:34" ht="15" customHeight="1">
      <c r="A231" s="38"/>
      <c r="B231" s="233"/>
      <c r="C231" s="36"/>
      <c r="D231" s="39"/>
      <c r="E231" s="39"/>
      <c r="F231" s="235"/>
      <c r="G231" s="36"/>
      <c r="H231" s="39"/>
      <c r="I231" s="37"/>
      <c r="J231" s="38"/>
      <c r="K231" s="39"/>
      <c r="L231" s="39"/>
      <c r="M231" s="39"/>
      <c r="N231" s="39"/>
      <c r="O231" s="37"/>
      <c r="P231" s="38"/>
      <c r="Q231" s="39"/>
      <c r="R231" s="37"/>
      <c r="S231" s="38"/>
      <c r="T231" s="39"/>
      <c r="U231" s="37"/>
      <c r="V231" s="259"/>
      <c r="W231" s="38"/>
      <c r="X231" s="39"/>
      <c r="Y231" s="39"/>
      <c r="Z231" s="39"/>
      <c r="AA231" s="39"/>
      <c r="AB231" s="37"/>
      <c r="AF231" s="257"/>
      <c r="AG231" s="236"/>
      <c r="AH231" s="237"/>
    </row>
    <row r="232" spans="1:34" ht="15" customHeight="1">
      <c r="A232" s="38"/>
      <c r="B232" s="233"/>
      <c r="C232" s="36"/>
      <c r="D232" s="39"/>
      <c r="E232" s="39"/>
      <c r="F232" s="235"/>
      <c r="G232" s="36"/>
      <c r="H232" s="39"/>
      <c r="I232" s="37"/>
      <c r="J232" s="38"/>
      <c r="K232" s="39"/>
      <c r="L232" s="39"/>
      <c r="M232" s="39"/>
      <c r="N232" s="39"/>
      <c r="O232" s="37"/>
      <c r="P232" s="38"/>
      <c r="Q232" s="39"/>
      <c r="R232" s="37"/>
      <c r="S232" s="38"/>
      <c r="T232" s="39"/>
      <c r="U232" s="37"/>
      <c r="V232" s="259"/>
      <c r="W232" s="38"/>
      <c r="X232" s="39"/>
      <c r="Y232" s="39"/>
      <c r="Z232" s="39"/>
      <c r="AA232" s="39"/>
      <c r="AB232" s="37"/>
      <c r="AF232" s="257"/>
      <c r="AG232" s="236"/>
      <c r="AH232" s="237"/>
    </row>
    <row r="233" spans="1:34" ht="15" customHeight="1">
      <c r="A233" s="38"/>
      <c r="B233" s="233"/>
      <c r="C233" s="36"/>
      <c r="D233" s="39"/>
      <c r="E233" s="39"/>
      <c r="F233" s="235"/>
      <c r="G233" s="36"/>
      <c r="H233" s="39"/>
      <c r="I233" s="37"/>
      <c r="J233" s="38"/>
      <c r="K233" s="39"/>
      <c r="L233" s="39"/>
      <c r="M233" s="39"/>
      <c r="N233" s="39"/>
      <c r="O233" s="37"/>
      <c r="P233" s="38"/>
      <c r="Q233" s="39"/>
      <c r="R233" s="37"/>
      <c r="S233" s="38"/>
      <c r="T233" s="39"/>
      <c r="U233" s="37"/>
      <c r="V233" s="259"/>
      <c r="W233" s="38"/>
      <c r="X233" s="39"/>
      <c r="Y233" s="39"/>
      <c r="Z233" s="39"/>
      <c r="AA233" s="39"/>
      <c r="AB233" s="37"/>
      <c r="AF233" s="257"/>
      <c r="AG233" s="236"/>
      <c r="AH233" s="237"/>
    </row>
    <row r="234" spans="1:34" ht="15" customHeight="1">
      <c r="A234" s="38"/>
      <c r="B234" s="233"/>
      <c r="C234" s="36"/>
      <c r="D234" s="39"/>
      <c r="E234" s="39"/>
      <c r="F234" s="235"/>
      <c r="G234" s="36"/>
      <c r="H234" s="39"/>
      <c r="I234" s="37"/>
      <c r="J234" s="38"/>
      <c r="K234" s="39"/>
      <c r="L234" s="39"/>
      <c r="M234" s="39"/>
      <c r="N234" s="39"/>
      <c r="O234" s="37"/>
      <c r="P234" s="38"/>
      <c r="Q234" s="39"/>
      <c r="R234" s="37"/>
      <c r="S234" s="38"/>
      <c r="T234" s="39"/>
      <c r="U234" s="37"/>
      <c r="V234" s="259"/>
      <c r="W234" s="38"/>
      <c r="X234" s="39"/>
      <c r="Y234" s="39"/>
      <c r="Z234" s="39"/>
      <c r="AA234" s="39"/>
      <c r="AB234" s="37"/>
      <c r="AF234" s="257"/>
      <c r="AG234" s="236"/>
      <c r="AH234" s="237"/>
    </row>
    <row r="235" spans="1:34" ht="15" customHeight="1">
      <c r="A235" s="38"/>
      <c r="B235" s="233"/>
      <c r="C235" s="36"/>
      <c r="D235" s="39"/>
      <c r="E235" s="39"/>
      <c r="F235" s="235"/>
      <c r="G235" s="36"/>
      <c r="H235" s="39"/>
      <c r="I235" s="37"/>
      <c r="J235" s="38"/>
      <c r="K235" s="39"/>
      <c r="L235" s="39"/>
      <c r="M235" s="39"/>
      <c r="N235" s="39"/>
      <c r="O235" s="37"/>
      <c r="P235" s="38"/>
      <c r="Q235" s="39"/>
      <c r="R235" s="37"/>
      <c r="S235" s="38"/>
      <c r="T235" s="39"/>
      <c r="U235" s="37"/>
      <c r="V235" s="259"/>
      <c r="W235" s="38"/>
      <c r="X235" s="39"/>
      <c r="Y235" s="39"/>
      <c r="Z235" s="39"/>
      <c r="AA235" s="39"/>
      <c r="AB235" s="37"/>
      <c r="AF235" s="257"/>
      <c r="AG235" s="236"/>
      <c r="AH235" s="237"/>
    </row>
    <row r="236" spans="1:34" ht="15" customHeight="1">
      <c r="A236" s="38"/>
      <c r="B236" s="233"/>
      <c r="C236" s="36"/>
      <c r="D236" s="39"/>
      <c r="E236" s="39"/>
      <c r="F236" s="235"/>
      <c r="G236" s="36"/>
      <c r="H236" s="39"/>
      <c r="I236" s="37"/>
      <c r="J236" s="38"/>
      <c r="K236" s="39"/>
      <c r="L236" s="39"/>
      <c r="M236" s="39"/>
      <c r="N236" s="39"/>
      <c r="O236" s="37"/>
      <c r="P236" s="38"/>
      <c r="Q236" s="39"/>
      <c r="R236" s="37"/>
      <c r="S236" s="38"/>
      <c r="T236" s="39"/>
      <c r="U236" s="37"/>
      <c r="V236" s="259"/>
      <c r="W236" s="38"/>
      <c r="X236" s="39"/>
      <c r="Y236" s="39"/>
      <c r="Z236" s="39"/>
      <c r="AA236" s="39"/>
      <c r="AB236" s="37"/>
      <c r="AF236" s="257"/>
      <c r="AG236" s="236"/>
      <c r="AH236" s="237"/>
    </row>
    <row r="237" spans="1:34" ht="15" customHeight="1">
      <c r="A237" s="38"/>
      <c r="B237" s="233"/>
      <c r="C237" s="36"/>
      <c r="D237" s="39"/>
      <c r="E237" s="39"/>
      <c r="F237" s="235"/>
      <c r="G237" s="36"/>
      <c r="H237" s="39"/>
      <c r="I237" s="37"/>
      <c r="J237" s="38"/>
      <c r="K237" s="39"/>
      <c r="L237" s="39"/>
      <c r="M237" s="39"/>
      <c r="N237" s="39"/>
      <c r="O237" s="37"/>
      <c r="P237" s="38"/>
      <c r="Q237" s="39"/>
      <c r="R237" s="37"/>
      <c r="S237" s="38"/>
      <c r="T237" s="39"/>
      <c r="U237" s="37"/>
      <c r="V237" s="259"/>
      <c r="W237" s="38"/>
      <c r="X237" s="39"/>
      <c r="Y237" s="39"/>
      <c r="Z237" s="39"/>
      <c r="AA237" s="39"/>
      <c r="AB237" s="37"/>
      <c r="AF237" s="257"/>
      <c r="AG237" s="236"/>
      <c r="AH237" s="237"/>
    </row>
    <row r="238" spans="1:34" ht="15" customHeight="1">
      <c r="A238" s="38"/>
      <c r="B238" s="233"/>
      <c r="C238" s="36"/>
      <c r="D238" s="39"/>
      <c r="E238" s="39"/>
      <c r="F238" s="235"/>
      <c r="G238" s="36"/>
      <c r="H238" s="39"/>
      <c r="I238" s="37"/>
      <c r="J238" s="38"/>
      <c r="K238" s="39"/>
      <c r="L238" s="39"/>
      <c r="M238" s="39"/>
      <c r="N238" s="39"/>
      <c r="O238" s="37"/>
      <c r="P238" s="38"/>
      <c r="Q238" s="39"/>
      <c r="R238" s="37"/>
      <c r="S238" s="38"/>
      <c r="T238" s="39"/>
      <c r="U238" s="37"/>
      <c r="V238" s="259"/>
      <c r="W238" s="38"/>
      <c r="X238" s="39"/>
      <c r="Y238" s="39"/>
      <c r="Z238" s="39"/>
      <c r="AA238" s="39"/>
      <c r="AB238" s="37"/>
      <c r="AF238" s="257"/>
      <c r="AG238" s="236"/>
      <c r="AH238" s="237"/>
    </row>
    <row r="239" spans="1:34" ht="15" customHeight="1">
      <c r="A239" s="38"/>
      <c r="B239" s="233"/>
      <c r="C239" s="36"/>
      <c r="D239" s="39"/>
      <c r="E239" s="39"/>
      <c r="F239" s="235"/>
      <c r="G239" s="36"/>
      <c r="H239" s="39"/>
      <c r="I239" s="37"/>
      <c r="J239" s="38"/>
      <c r="K239" s="39"/>
      <c r="L239" s="39"/>
      <c r="M239" s="39"/>
      <c r="N239" s="39"/>
      <c r="O239" s="37"/>
      <c r="P239" s="38"/>
      <c r="Q239" s="39"/>
      <c r="R239" s="37"/>
      <c r="S239" s="38"/>
      <c r="T239" s="39"/>
      <c r="U239" s="37"/>
      <c r="V239" s="259"/>
      <c r="W239" s="38"/>
      <c r="X239" s="39"/>
      <c r="Y239" s="39"/>
      <c r="Z239" s="39"/>
      <c r="AA239" s="39"/>
      <c r="AB239" s="37"/>
      <c r="AF239" s="257"/>
      <c r="AG239" s="236"/>
      <c r="AH239" s="237"/>
    </row>
    <row r="240" spans="1:34" ht="15" customHeight="1">
      <c r="A240" s="38"/>
      <c r="B240" s="233"/>
      <c r="C240" s="36"/>
      <c r="D240" s="39"/>
      <c r="E240" s="39"/>
      <c r="F240" s="235"/>
      <c r="G240" s="36"/>
      <c r="H240" s="39"/>
      <c r="I240" s="37"/>
      <c r="J240" s="38"/>
      <c r="K240" s="39"/>
      <c r="L240" s="39"/>
      <c r="M240" s="39"/>
      <c r="N240" s="39"/>
      <c r="O240" s="37"/>
      <c r="P240" s="38"/>
      <c r="Q240" s="39"/>
      <c r="R240" s="37"/>
      <c r="S240" s="38"/>
      <c r="T240" s="39"/>
      <c r="U240" s="37"/>
      <c r="V240" s="259"/>
      <c r="W240" s="38"/>
      <c r="X240" s="39"/>
      <c r="Y240" s="39"/>
      <c r="Z240" s="39"/>
      <c r="AA240" s="39"/>
      <c r="AB240" s="37"/>
      <c r="AF240" s="257"/>
      <c r="AG240" s="236"/>
      <c r="AH240" s="237"/>
    </row>
    <row r="241" spans="1:34" ht="15" customHeight="1">
      <c r="A241" s="38"/>
      <c r="B241" s="233"/>
      <c r="C241" s="36"/>
      <c r="D241" s="39"/>
      <c r="E241" s="39"/>
      <c r="F241" s="235"/>
      <c r="G241" s="36"/>
      <c r="H241" s="39"/>
      <c r="I241" s="37"/>
      <c r="J241" s="38"/>
      <c r="K241" s="39"/>
      <c r="L241" s="39"/>
      <c r="M241" s="39"/>
      <c r="N241" s="39"/>
      <c r="O241" s="37"/>
      <c r="P241" s="38"/>
      <c r="Q241" s="39"/>
      <c r="R241" s="37"/>
      <c r="S241" s="38"/>
      <c r="T241" s="39"/>
      <c r="U241" s="37"/>
      <c r="V241" s="259"/>
      <c r="W241" s="38"/>
      <c r="X241" s="39"/>
      <c r="Y241" s="39"/>
      <c r="Z241" s="39"/>
      <c r="AA241" s="39"/>
      <c r="AB241" s="37"/>
      <c r="AF241" s="257"/>
      <c r="AG241" s="236"/>
      <c r="AH241" s="237"/>
    </row>
    <row r="242" spans="1:34" ht="15" customHeight="1">
      <c r="A242" s="38"/>
      <c r="B242" s="233"/>
      <c r="C242" s="36"/>
      <c r="D242" s="39"/>
      <c r="E242" s="39"/>
      <c r="F242" s="235"/>
      <c r="G242" s="36"/>
      <c r="H242" s="39"/>
      <c r="I242" s="37"/>
      <c r="J242" s="38"/>
      <c r="K242" s="39"/>
      <c r="L242" s="39"/>
      <c r="M242" s="39"/>
      <c r="N242" s="39"/>
      <c r="O242" s="37"/>
      <c r="P242" s="38"/>
      <c r="Q242" s="39"/>
      <c r="R242" s="37"/>
      <c r="S242" s="38"/>
      <c r="T242" s="39"/>
      <c r="U242" s="37"/>
      <c r="V242" s="259"/>
      <c r="W242" s="38"/>
      <c r="X242" s="39"/>
      <c r="Y242" s="39"/>
      <c r="Z242" s="39"/>
      <c r="AA242" s="39"/>
      <c r="AB242" s="37"/>
      <c r="AF242" s="257"/>
      <c r="AG242" s="236"/>
      <c r="AH242" s="237"/>
    </row>
    <row r="243" spans="1:34" ht="15" customHeight="1">
      <c r="A243" s="38"/>
      <c r="B243" s="233"/>
      <c r="C243" s="36"/>
      <c r="D243" s="39"/>
      <c r="E243" s="39"/>
      <c r="F243" s="235"/>
      <c r="G243" s="36"/>
      <c r="H243" s="39"/>
      <c r="I243" s="37"/>
      <c r="J243" s="38"/>
      <c r="K243" s="39"/>
      <c r="L243" s="39"/>
      <c r="M243" s="39"/>
      <c r="N243" s="39"/>
      <c r="O243" s="37"/>
      <c r="P243" s="38"/>
      <c r="Q243" s="39"/>
      <c r="R243" s="37"/>
      <c r="S243" s="38"/>
      <c r="T243" s="39"/>
      <c r="U243" s="37"/>
      <c r="V243" s="259"/>
      <c r="W243" s="38"/>
      <c r="X243" s="39"/>
      <c r="Y243" s="39"/>
      <c r="Z243" s="39"/>
      <c r="AA243" s="39"/>
      <c r="AB243" s="37"/>
      <c r="AF243" s="257"/>
      <c r="AG243" s="236"/>
      <c r="AH243" s="237"/>
    </row>
    <row r="244" spans="1:34" ht="15" customHeight="1">
      <c r="A244" s="38"/>
      <c r="B244" s="233"/>
      <c r="C244" s="36"/>
      <c r="D244" s="39"/>
      <c r="E244" s="39"/>
      <c r="F244" s="235"/>
      <c r="G244" s="36"/>
      <c r="H244" s="39"/>
      <c r="I244" s="37"/>
      <c r="J244" s="38"/>
      <c r="K244" s="39"/>
      <c r="L244" s="39"/>
      <c r="M244" s="39"/>
      <c r="N244" s="39"/>
      <c r="O244" s="37"/>
      <c r="P244" s="38"/>
      <c r="Q244" s="39"/>
      <c r="R244" s="37"/>
      <c r="S244" s="38"/>
      <c r="T244" s="39"/>
      <c r="U244" s="37"/>
      <c r="V244" s="259"/>
      <c r="W244" s="38"/>
      <c r="X244" s="39"/>
      <c r="Y244" s="39"/>
      <c r="Z244" s="39"/>
      <c r="AA244" s="39"/>
      <c r="AB244" s="37"/>
      <c r="AF244" s="257"/>
      <c r="AG244" s="236"/>
      <c r="AH244" s="237"/>
    </row>
    <row r="245" spans="1:34" ht="15" customHeight="1">
      <c r="A245" s="38"/>
      <c r="B245" s="233"/>
      <c r="C245" s="36"/>
      <c r="D245" s="39"/>
      <c r="E245" s="39"/>
      <c r="F245" s="235"/>
      <c r="G245" s="36"/>
      <c r="H245" s="39"/>
      <c r="I245" s="37"/>
      <c r="J245" s="38"/>
      <c r="K245" s="39"/>
      <c r="L245" s="39"/>
      <c r="M245" s="39"/>
      <c r="N245" s="39"/>
      <c r="O245" s="37"/>
      <c r="P245" s="38"/>
      <c r="Q245" s="39"/>
      <c r="R245" s="37"/>
      <c r="S245" s="38"/>
      <c r="T245" s="39"/>
      <c r="U245" s="37"/>
      <c r="V245" s="259"/>
      <c r="W245" s="38"/>
      <c r="X245" s="39"/>
      <c r="Y245" s="39"/>
      <c r="Z245" s="39"/>
      <c r="AA245" s="39"/>
      <c r="AB245" s="37"/>
      <c r="AF245" s="257"/>
      <c r="AG245" s="236"/>
      <c r="AH245" s="237"/>
    </row>
    <row r="246" spans="1:34" ht="15" customHeight="1">
      <c r="A246" s="38"/>
      <c r="B246" s="233"/>
      <c r="C246" s="36"/>
      <c r="D246" s="39"/>
      <c r="E246" s="39"/>
      <c r="F246" s="235"/>
      <c r="G246" s="36"/>
      <c r="H246" s="39"/>
      <c r="I246" s="37"/>
      <c r="J246" s="38"/>
      <c r="K246" s="39"/>
      <c r="L246" s="39"/>
      <c r="M246" s="39"/>
      <c r="N246" s="39"/>
      <c r="O246" s="37"/>
      <c r="P246" s="38"/>
      <c r="Q246" s="39"/>
      <c r="R246" s="37"/>
      <c r="S246" s="38"/>
      <c r="T246" s="39"/>
      <c r="U246" s="37"/>
      <c r="V246" s="259"/>
      <c r="W246" s="38"/>
      <c r="X246" s="39"/>
      <c r="Y246" s="39"/>
      <c r="Z246" s="39"/>
      <c r="AA246" s="39"/>
      <c r="AB246" s="37"/>
      <c r="AF246" s="257"/>
      <c r="AG246" s="236"/>
      <c r="AH246" s="237"/>
    </row>
    <row r="247" spans="1:34" ht="15" customHeight="1">
      <c r="A247" s="38"/>
      <c r="B247" s="233"/>
      <c r="C247" s="36"/>
      <c r="D247" s="39"/>
      <c r="E247" s="39"/>
      <c r="F247" s="235"/>
      <c r="G247" s="36"/>
      <c r="H247" s="39"/>
      <c r="I247" s="37"/>
      <c r="J247" s="38"/>
      <c r="K247" s="39"/>
      <c r="L247" s="39"/>
      <c r="M247" s="39"/>
      <c r="N247" s="39"/>
      <c r="O247" s="37"/>
      <c r="P247" s="38"/>
      <c r="Q247" s="39"/>
      <c r="R247" s="37"/>
      <c r="S247" s="38"/>
      <c r="T247" s="39"/>
      <c r="U247" s="37"/>
      <c r="V247" s="259"/>
      <c r="W247" s="38"/>
      <c r="X247" s="39"/>
      <c r="Y247" s="39"/>
      <c r="Z247" s="39"/>
      <c r="AA247" s="39"/>
      <c r="AB247" s="37"/>
      <c r="AF247" s="257"/>
      <c r="AG247" s="236"/>
      <c r="AH247" s="237"/>
    </row>
    <row r="248" spans="1:34" ht="15" customHeight="1">
      <c r="A248" s="38"/>
      <c r="B248" s="233"/>
      <c r="C248" s="36"/>
      <c r="D248" s="39"/>
      <c r="E248" s="39"/>
      <c r="F248" s="235"/>
      <c r="G248" s="36"/>
      <c r="H248" s="39"/>
      <c r="I248" s="37"/>
      <c r="J248" s="38"/>
      <c r="K248" s="39"/>
      <c r="L248" s="39"/>
      <c r="M248" s="39"/>
      <c r="N248" s="39"/>
      <c r="O248" s="37"/>
      <c r="P248" s="38"/>
      <c r="Q248" s="39"/>
      <c r="R248" s="37"/>
      <c r="S248" s="38"/>
      <c r="T248" s="39"/>
      <c r="U248" s="37"/>
      <c r="V248" s="259"/>
      <c r="W248" s="38"/>
      <c r="X248" s="39"/>
      <c r="Y248" s="39"/>
      <c r="Z248" s="39"/>
      <c r="AA248" s="39"/>
      <c r="AB248" s="37"/>
      <c r="AF248" s="257"/>
      <c r="AG248" s="236"/>
      <c r="AH248" s="237"/>
    </row>
    <row r="249" spans="1:34" ht="15" customHeight="1">
      <c r="A249" s="38"/>
      <c r="B249" s="233"/>
      <c r="C249" s="36"/>
      <c r="D249" s="39"/>
      <c r="E249" s="39"/>
      <c r="F249" s="235"/>
      <c r="G249" s="36"/>
      <c r="H249" s="39"/>
      <c r="I249" s="37"/>
      <c r="J249" s="38"/>
      <c r="K249" s="39"/>
      <c r="L249" s="39"/>
      <c r="M249" s="39"/>
      <c r="N249" s="39"/>
      <c r="O249" s="37"/>
      <c r="P249" s="38"/>
      <c r="Q249" s="39"/>
      <c r="R249" s="37"/>
      <c r="S249" s="38"/>
      <c r="T249" s="39"/>
      <c r="U249" s="37"/>
      <c r="V249" s="259"/>
      <c r="W249" s="38"/>
      <c r="X249" s="39"/>
      <c r="Y249" s="39"/>
      <c r="Z249" s="39"/>
      <c r="AA249" s="39"/>
      <c r="AB249" s="37"/>
      <c r="AF249" s="257"/>
      <c r="AG249" s="236"/>
      <c r="AH249" s="237"/>
    </row>
    <row r="250" spans="1:34" ht="15" customHeight="1">
      <c r="A250" s="38"/>
      <c r="B250" s="233"/>
      <c r="C250" s="36"/>
      <c r="D250" s="39"/>
      <c r="E250" s="39"/>
      <c r="F250" s="235"/>
      <c r="G250" s="36"/>
      <c r="H250" s="39"/>
      <c r="I250" s="37"/>
      <c r="J250" s="38"/>
      <c r="K250" s="39"/>
      <c r="L250" s="39"/>
      <c r="M250" s="39"/>
      <c r="N250" s="39"/>
      <c r="O250" s="37"/>
      <c r="P250" s="38"/>
      <c r="Q250" s="39"/>
      <c r="R250" s="37"/>
      <c r="S250" s="38"/>
      <c r="T250" s="39"/>
      <c r="U250" s="37"/>
      <c r="V250" s="259"/>
      <c r="W250" s="38"/>
      <c r="X250" s="39"/>
      <c r="Y250" s="39"/>
      <c r="Z250" s="39"/>
      <c r="AA250" s="39"/>
      <c r="AB250" s="37"/>
      <c r="AF250" s="257"/>
      <c r="AG250" s="236"/>
      <c r="AH250" s="237"/>
    </row>
    <row r="251" spans="1:34" ht="15" customHeight="1">
      <c r="A251" s="38"/>
      <c r="B251" s="233"/>
      <c r="C251" s="36"/>
      <c r="D251" s="39"/>
      <c r="E251" s="39"/>
      <c r="F251" s="235"/>
      <c r="G251" s="36"/>
      <c r="H251" s="39"/>
      <c r="I251" s="37"/>
      <c r="J251" s="38"/>
      <c r="K251" s="39"/>
      <c r="L251" s="39"/>
      <c r="M251" s="39"/>
      <c r="N251" s="39"/>
      <c r="O251" s="37"/>
      <c r="P251" s="38"/>
      <c r="Q251" s="39"/>
      <c r="R251" s="37"/>
      <c r="S251" s="38"/>
      <c r="T251" s="39"/>
      <c r="U251" s="37"/>
      <c r="V251" s="259"/>
      <c r="W251" s="38"/>
      <c r="X251" s="39"/>
      <c r="Y251" s="39"/>
      <c r="Z251" s="39"/>
      <c r="AA251" s="39"/>
      <c r="AB251" s="37"/>
      <c r="AF251" s="257"/>
      <c r="AG251" s="236"/>
      <c r="AH251" s="237"/>
    </row>
    <row r="252" spans="1:34" ht="15" customHeight="1">
      <c r="A252" s="38"/>
      <c r="B252" s="233"/>
      <c r="C252" s="36"/>
      <c r="D252" s="39"/>
      <c r="E252" s="39"/>
      <c r="F252" s="235"/>
      <c r="G252" s="36"/>
      <c r="H252" s="39"/>
      <c r="I252" s="37"/>
      <c r="J252" s="38"/>
      <c r="K252" s="39"/>
      <c r="L252" s="39"/>
      <c r="M252" s="39"/>
      <c r="N252" s="39"/>
      <c r="O252" s="37"/>
      <c r="P252" s="38"/>
      <c r="Q252" s="39"/>
      <c r="R252" s="37"/>
      <c r="S252" s="38"/>
      <c r="T252" s="39"/>
      <c r="U252" s="37"/>
      <c r="V252" s="259"/>
      <c r="W252" s="38"/>
      <c r="X252" s="39"/>
      <c r="Y252" s="39"/>
      <c r="Z252" s="39"/>
      <c r="AA252" s="39"/>
      <c r="AB252" s="37"/>
      <c r="AF252" s="257"/>
      <c r="AG252" s="236"/>
      <c r="AH252" s="237"/>
    </row>
    <row r="253" spans="1:34" ht="15" customHeight="1">
      <c r="A253" s="38"/>
      <c r="B253" s="233"/>
      <c r="C253" s="36"/>
      <c r="D253" s="39"/>
      <c r="E253" s="39"/>
      <c r="F253" s="235"/>
      <c r="G253" s="36"/>
      <c r="H253" s="39"/>
      <c r="I253" s="37"/>
      <c r="J253" s="38"/>
      <c r="K253" s="39"/>
      <c r="L253" s="39"/>
      <c r="M253" s="39"/>
      <c r="N253" s="39"/>
      <c r="O253" s="37"/>
      <c r="P253" s="38"/>
      <c r="Q253" s="39"/>
      <c r="R253" s="37"/>
      <c r="S253" s="38"/>
      <c r="T253" s="39"/>
      <c r="U253" s="37"/>
      <c r="V253" s="259"/>
      <c r="W253" s="38"/>
      <c r="X253" s="39"/>
      <c r="Y253" s="39"/>
      <c r="Z253" s="39"/>
      <c r="AA253" s="39"/>
      <c r="AB253" s="37"/>
      <c r="AF253" s="257"/>
      <c r="AG253" s="236"/>
      <c r="AH253" s="237"/>
    </row>
    <row r="254" spans="1:34" ht="15" customHeight="1">
      <c r="A254" s="38"/>
      <c r="B254" s="233"/>
      <c r="C254" s="36"/>
      <c r="D254" s="39"/>
      <c r="E254" s="39"/>
      <c r="F254" s="235"/>
      <c r="G254" s="36"/>
      <c r="H254" s="39"/>
      <c r="I254" s="37"/>
      <c r="J254" s="38"/>
      <c r="K254" s="39"/>
      <c r="L254" s="39"/>
      <c r="M254" s="39"/>
      <c r="N254" s="39"/>
      <c r="O254" s="37"/>
      <c r="P254" s="38"/>
      <c r="Q254" s="39"/>
      <c r="R254" s="37"/>
      <c r="S254" s="38"/>
      <c r="T254" s="39"/>
      <c r="U254" s="37"/>
      <c r="V254" s="259"/>
      <c r="W254" s="38"/>
      <c r="X254" s="39"/>
      <c r="Y254" s="39"/>
      <c r="Z254" s="39"/>
      <c r="AA254" s="39"/>
      <c r="AB254" s="37"/>
      <c r="AF254" s="257"/>
      <c r="AG254" s="236"/>
      <c r="AH254" s="237"/>
    </row>
    <row r="255" spans="1:34" ht="15" customHeight="1">
      <c r="A255" s="38"/>
      <c r="B255" s="233"/>
      <c r="C255" s="36"/>
      <c r="D255" s="39"/>
      <c r="E255" s="39"/>
      <c r="F255" s="235"/>
      <c r="G255" s="36"/>
      <c r="H255" s="39"/>
      <c r="I255" s="37"/>
      <c r="J255" s="38"/>
      <c r="K255" s="39"/>
      <c r="L255" s="39"/>
      <c r="M255" s="39"/>
      <c r="N255" s="39"/>
      <c r="O255" s="37"/>
      <c r="P255" s="38"/>
      <c r="Q255" s="39"/>
      <c r="R255" s="37"/>
      <c r="S255" s="38"/>
      <c r="T255" s="39"/>
      <c r="U255" s="37"/>
      <c r="V255" s="259"/>
      <c r="W255" s="38"/>
      <c r="X255" s="39"/>
      <c r="Y255" s="39"/>
      <c r="Z255" s="39"/>
      <c r="AA255" s="39"/>
      <c r="AB255" s="37"/>
      <c r="AF255" s="257"/>
      <c r="AG255" s="236"/>
      <c r="AH255" s="237"/>
    </row>
    <row r="256" spans="1:34" ht="15" customHeight="1">
      <c r="A256" s="38"/>
      <c r="B256" s="233"/>
      <c r="C256" s="36"/>
      <c r="D256" s="39"/>
      <c r="E256" s="39"/>
      <c r="F256" s="235"/>
      <c r="G256" s="36"/>
      <c r="H256" s="39"/>
      <c r="I256" s="37"/>
      <c r="J256" s="38"/>
      <c r="K256" s="39"/>
      <c r="L256" s="39"/>
      <c r="M256" s="39"/>
      <c r="N256" s="39"/>
      <c r="O256" s="37"/>
      <c r="P256" s="38"/>
      <c r="Q256" s="39"/>
      <c r="R256" s="37"/>
      <c r="S256" s="38"/>
      <c r="T256" s="39"/>
      <c r="U256" s="37"/>
      <c r="V256" s="259"/>
      <c r="W256" s="38"/>
      <c r="X256" s="39"/>
      <c r="Y256" s="39"/>
      <c r="Z256" s="39"/>
      <c r="AA256" s="39"/>
      <c r="AB256" s="37"/>
      <c r="AF256" s="257"/>
      <c r="AG256" s="236"/>
      <c r="AH256" s="237"/>
    </row>
    <row r="257" spans="1:34" ht="15" customHeight="1">
      <c r="A257" s="38"/>
      <c r="B257" s="233"/>
      <c r="C257" s="36"/>
      <c r="D257" s="39"/>
      <c r="E257" s="39"/>
      <c r="F257" s="235"/>
      <c r="G257" s="36"/>
      <c r="H257" s="39"/>
      <c r="I257" s="37"/>
      <c r="J257" s="38"/>
      <c r="K257" s="39"/>
      <c r="L257" s="39"/>
      <c r="M257" s="39"/>
      <c r="N257" s="39"/>
      <c r="O257" s="37"/>
      <c r="P257" s="38"/>
      <c r="Q257" s="39"/>
      <c r="R257" s="37"/>
      <c r="S257" s="38"/>
      <c r="T257" s="39"/>
      <c r="U257" s="37"/>
      <c r="V257" s="259"/>
      <c r="W257" s="38"/>
      <c r="X257" s="39"/>
      <c r="Y257" s="39"/>
      <c r="Z257" s="39"/>
      <c r="AA257" s="39"/>
      <c r="AB257" s="37"/>
      <c r="AF257" s="257"/>
      <c r="AG257" s="236"/>
      <c r="AH257" s="237"/>
    </row>
    <row r="258" spans="1:34" ht="15" customHeight="1">
      <c r="A258" s="38"/>
      <c r="B258" s="233"/>
      <c r="C258" s="36"/>
      <c r="D258" s="39"/>
      <c r="E258" s="39"/>
      <c r="F258" s="235"/>
      <c r="G258" s="36"/>
      <c r="H258" s="39"/>
      <c r="I258" s="37"/>
      <c r="J258" s="38"/>
      <c r="K258" s="39"/>
      <c r="L258" s="39"/>
      <c r="M258" s="39"/>
      <c r="N258" s="39"/>
      <c r="O258" s="37"/>
      <c r="P258" s="38"/>
      <c r="Q258" s="39"/>
      <c r="R258" s="37"/>
      <c r="S258" s="38"/>
      <c r="T258" s="39"/>
      <c r="U258" s="37"/>
      <c r="V258" s="259"/>
      <c r="W258" s="38"/>
      <c r="X258" s="39"/>
      <c r="Y258" s="39"/>
      <c r="Z258" s="39"/>
      <c r="AA258" s="39"/>
      <c r="AB258" s="37"/>
      <c r="AF258" s="257"/>
      <c r="AG258" s="236"/>
      <c r="AH258" s="237"/>
    </row>
    <row r="259" spans="1:34" ht="15" customHeight="1">
      <c r="A259" s="38"/>
      <c r="B259" s="233"/>
      <c r="C259" s="36"/>
      <c r="D259" s="39"/>
      <c r="E259" s="39"/>
      <c r="F259" s="235"/>
      <c r="G259" s="36"/>
      <c r="H259" s="39"/>
      <c r="I259" s="37"/>
      <c r="J259" s="38"/>
      <c r="K259" s="39"/>
      <c r="L259" s="39"/>
      <c r="M259" s="39"/>
      <c r="N259" s="39"/>
      <c r="O259" s="37"/>
      <c r="P259" s="38"/>
      <c r="Q259" s="39"/>
      <c r="R259" s="37"/>
      <c r="S259" s="38"/>
      <c r="T259" s="39"/>
      <c r="U259" s="37"/>
      <c r="V259" s="259"/>
      <c r="W259" s="38"/>
      <c r="X259" s="39"/>
      <c r="Y259" s="39"/>
      <c r="Z259" s="39"/>
      <c r="AA259" s="39"/>
      <c r="AB259" s="37"/>
      <c r="AF259" s="257"/>
      <c r="AG259" s="236"/>
      <c r="AH259" s="237"/>
    </row>
    <row r="260" spans="1:34" ht="15" customHeight="1">
      <c r="A260" s="38"/>
      <c r="B260" s="233"/>
      <c r="C260" s="36"/>
      <c r="D260" s="39"/>
      <c r="E260" s="39"/>
      <c r="F260" s="235"/>
      <c r="G260" s="36"/>
      <c r="H260" s="39"/>
      <c r="I260" s="37"/>
      <c r="J260" s="38"/>
      <c r="K260" s="39"/>
      <c r="L260" s="39"/>
      <c r="M260" s="39"/>
      <c r="N260" s="39"/>
      <c r="O260" s="37"/>
      <c r="P260" s="38"/>
      <c r="Q260" s="39"/>
      <c r="R260" s="37"/>
      <c r="S260" s="38"/>
      <c r="T260" s="39"/>
      <c r="U260" s="37"/>
      <c r="V260" s="259"/>
      <c r="W260" s="38"/>
      <c r="X260" s="39"/>
      <c r="Y260" s="39"/>
      <c r="Z260" s="39"/>
      <c r="AA260" s="39"/>
      <c r="AB260" s="37"/>
      <c r="AF260" s="257"/>
      <c r="AG260" s="236"/>
      <c r="AH260" s="237"/>
    </row>
    <row r="261" spans="1:34" ht="15" customHeight="1">
      <c r="A261" s="38"/>
      <c r="B261" s="233"/>
      <c r="C261" s="36"/>
      <c r="D261" s="39"/>
      <c r="E261" s="39"/>
      <c r="F261" s="235"/>
      <c r="G261" s="36"/>
      <c r="H261" s="39"/>
      <c r="I261" s="37"/>
      <c r="J261" s="38"/>
      <c r="K261" s="39"/>
      <c r="L261" s="39"/>
      <c r="M261" s="39"/>
      <c r="N261" s="39"/>
      <c r="O261" s="37"/>
      <c r="P261" s="38"/>
      <c r="Q261" s="39"/>
      <c r="R261" s="37"/>
      <c r="S261" s="38"/>
      <c r="T261" s="39"/>
      <c r="U261" s="37"/>
      <c r="V261" s="259"/>
      <c r="W261" s="38"/>
      <c r="X261" s="39"/>
      <c r="Y261" s="39"/>
      <c r="Z261" s="39"/>
      <c r="AA261" s="39"/>
      <c r="AB261" s="37"/>
      <c r="AF261" s="257"/>
      <c r="AG261" s="236"/>
      <c r="AH261" s="237"/>
    </row>
    <row r="262" spans="1:34" ht="15" customHeight="1">
      <c r="A262" s="38"/>
      <c r="B262" s="233"/>
      <c r="C262" s="36"/>
      <c r="D262" s="39"/>
      <c r="E262" s="39"/>
      <c r="F262" s="235"/>
      <c r="G262" s="36"/>
      <c r="H262" s="39"/>
      <c r="I262" s="37"/>
      <c r="J262" s="38"/>
      <c r="K262" s="39"/>
      <c r="L262" s="39"/>
      <c r="M262" s="39"/>
      <c r="N262" s="39"/>
      <c r="O262" s="37"/>
      <c r="P262" s="38"/>
      <c r="Q262" s="39"/>
      <c r="R262" s="37"/>
      <c r="S262" s="38"/>
      <c r="T262" s="39"/>
      <c r="U262" s="37"/>
      <c r="V262" s="259"/>
      <c r="W262" s="38"/>
      <c r="X262" s="39"/>
      <c r="Y262" s="39"/>
      <c r="Z262" s="39"/>
      <c r="AA262" s="39"/>
      <c r="AB262" s="37"/>
      <c r="AF262" s="257"/>
      <c r="AG262" s="236"/>
      <c r="AH262" s="237"/>
    </row>
    <row r="263" spans="1:34" ht="15" customHeight="1">
      <c r="A263" s="38"/>
      <c r="B263" s="233"/>
      <c r="C263" s="36"/>
      <c r="D263" s="39"/>
      <c r="E263" s="39"/>
      <c r="F263" s="235"/>
      <c r="G263" s="36"/>
      <c r="H263" s="39"/>
      <c r="I263" s="37"/>
      <c r="J263" s="38"/>
      <c r="K263" s="39"/>
      <c r="L263" s="39"/>
      <c r="M263" s="39"/>
      <c r="N263" s="39"/>
      <c r="O263" s="37"/>
      <c r="P263" s="38"/>
      <c r="Q263" s="39"/>
      <c r="R263" s="37"/>
      <c r="S263" s="38"/>
      <c r="T263" s="39"/>
      <c r="U263" s="37"/>
      <c r="V263" s="259"/>
      <c r="W263" s="38"/>
      <c r="X263" s="39"/>
      <c r="Y263" s="39"/>
      <c r="Z263" s="39"/>
      <c r="AA263" s="39"/>
      <c r="AB263" s="37"/>
      <c r="AF263" s="257"/>
      <c r="AG263" s="236"/>
      <c r="AH263" s="237"/>
    </row>
    <row r="264" spans="1:34" ht="15" customHeight="1">
      <c r="A264" s="38"/>
      <c r="B264" s="233"/>
      <c r="C264" s="36"/>
      <c r="D264" s="39"/>
      <c r="E264" s="39"/>
      <c r="F264" s="235"/>
      <c r="G264" s="36"/>
      <c r="H264" s="39"/>
      <c r="I264" s="37"/>
      <c r="J264" s="38"/>
      <c r="K264" s="39"/>
      <c r="L264" s="39"/>
      <c r="M264" s="39"/>
      <c r="N264" s="39"/>
      <c r="O264" s="37"/>
      <c r="P264" s="38"/>
      <c r="Q264" s="39"/>
      <c r="R264" s="37"/>
      <c r="S264" s="38"/>
      <c r="T264" s="39"/>
      <c r="U264" s="37"/>
      <c r="V264" s="259"/>
      <c r="W264" s="38"/>
      <c r="X264" s="39"/>
      <c r="Y264" s="39"/>
      <c r="Z264" s="39"/>
      <c r="AA264" s="39"/>
      <c r="AB264" s="37"/>
      <c r="AF264" s="257"/>
      <c r="AG264" s="236"/>
      <c r="AH264" s="237"/>
    </row>
    <row r="265" spans="1:34" ht="15" customHeight="1">
      <c r="A265" s="38"/>
      <c r="B265" s="233"/>
      <c r="C265" s="36"/>
      <c r="D265" s="39"/>
      <c r="E265" s="39"/>
      <c r="F265" s="235"/>
      <c r="G265" s="36"/>
      <c r="H265" s="39"/>
      <c r="I265" s="37"/>
      <c r="J265" s="38"/>
      <c r="K265" s="39"/>
      <c r="L265" s="39"/>
      <c r="M265" s="39"/>
      <c r="N265" s="39"/>
      <c r="O265" s="37"/>
      <c r="P265" s="38"/>
      <c r="Q265" s="39"/>
      <c r="R265" s="37"/>
      <c r="S265" s="38"/>
      <c r="T265" s="39"/>
      <c r="U265" s="37"/>
      <c r="V265" s="259"/>
      <c r="W265" s="38"/>
      <c r="X265" s="39"/>
      <c r="Y265" s="39"/>
      <c r="Z265" s="39"/>
      <c r="AA265" s="39"/>
      <c r="AB265" s="37"/>
      <c r="AF265" s="257"/>
      <c r="AG265" s="236"/>
      <c r="AH265" s="237"/>
    </row>
    <row r="266" spans="1:34" ht="15" customHeight="1">
      <c r="A266" s="38"/>
      <c r="B266" s="233"/>
      <c r="C266" s="36"/>
      <c r="D266" s="39"/>
      <c r="E266" s="39"/>
      <c r="F266" s="235"/>
      <c r="G266" s="36"/>
      <c r="H266" s="39"/>
      <c r="I266" s="37"/>
      <c r="J266" s="38"/>
      <c r="K266" s="39"/>
      <c r="L266" s="39"/>
      <c r="M266" s="39"/>
      <c r="N266" s="39"/>
      <c r="O266" s="37"/>
      <c r="P266" s="38"/>
      <c r="Q266" s="39"/>
      <c r="R266" s="37"/>
      <c r="S266" s="38"/>
      <c r="T266" s="39"/>
      <c r="U266" s="37"/>
      <c r="V266" s="259"/>
      <c r="W266" s="38"/>
      <c r="X266" s="39"/>
      <c r="Y266" s="39"/>
      <c r="Z266" s="39"/>
      <c r="AA266" s="39"/>
      <c r="AB266" s="37"/>
      <c r="AF266" s="257"/>
      <c r="AG266" s="236"/>
      <c r="AH266" s="237"/>
    </row>
    <row r="267" spans="1:34" ht="15" customHeight="1">
      <c r="A267" s="38"/>
      <c r="B267" s="233"/>
      <c r="C267" s="36"/>
      <c r="D267" s="39"/>
      <c r="E267" s="39"/>
      <c r="F267" s="235"/>
      <c r="G267" s="36"/>
      <c r="H267" s="39"/>
      <c r="I267" s="37"/>
      <c r="J267" s="38"/>
      <c r="K267" s="39"/>
      <c r="L267" s="39"/>
      <c r="M267" s="39"/>
      <c r="N267" s="39"/>
      <c r="O267" s="37"/>
      <c r="P267" s="38"/>
      <c r="Q267" s="39"/>
      <c r="R267" s="37"/>
      <c r="S267" s="38"/>
      <c r="T267" s="39"/>
      <c r="U267" s="37"/>
      <c r="V267" s="259"/>
      <c r="W267" s="38"/>
      <c r="X267" s="39"/>
      <c r="Y267" s="39"/>
      <c r="Z267" s="39"/>
      <c r="AA267" s="39"/>
      <c r="AB267" s="37"/>
      <c r="AF267" s="257"/>
      <c r="AG267" s="236"/>
      <c r="AH267" s="237"/>
    </row>
    <row r="268" spans="1:34" ht="15" customHeight="1">
      <c r="A268" s="38"/>
      <c r="B268" s="233"/>
      <c r="C268" s="36"/>
      <c r="D268" s="39"/>
      <c r="E268" s="39"/>
      <c r="F268" s="235"/>
      <c r="G268" s="36"/>
      <c r="H268" s="39"/>
      <c r="I268" s="37"/>
      <c r="J268" s="38"/>
      <c r="K268" s="39"/>
      <c r="L268" s="39"/>
      <c r="M268" s="39"/>
      <c r="N268" s="39"/>
      <c r="O268" s="37"/>
      <c r="P268" s="38"/>
      <c r="Q268" s="39"/>
      <c r="R268" s="37"/>
      <c r="S268" s="38"/>
      <c r="T268" s="39"/>
      <c r="U268" s="37"/>
      <c r="V268" s="259"/>
      <c r="W268" s="38"/>
      <c r="X268" s="39"/>
      <c r="Y268" s="39"/>
      <c r="Z268" s="39"/>
      <c r="AA268" s="39"/>
      <c r="AB268" s="37"/>
      <c r="AF268" s="257"/>
      <c r="AG268" s="236"/>
      <c r="AH268" s="237"/>
    </row>
    <row r="269" spans="1:34" ht="15" customHeight="1">
      <c r="A269" s="38"/>
      <c r="B269" s="233"/>
      <c r="C269" s="36"/>
      <c r="D269" s="39"/>
      <c r="E269" s="39"/>
      <c r="F269" s="235"/>
      <c r="G269" s="36"/>
      <c r="H269" s="39"/>
      <c r="I269" s="37"/>
      <c r="J269" s="38"/>
      <c r="K269" s="39"/>
      <c r="L269" s="39"/>
      <c r="M269" s="39"/>
      <c r="N269" s="39"/>
      <c r="O269" s="37"/>
      <c r="P269" s="38"/>
      <c r="Q269" s="39"/>
      <c r="R269" s="37"/>
      <c r="S269" s="38"/>
      <c r="T269" s="39"/>
      <c r="U269" s="37"/>
      <c r="V269" s="259"/>
      <c r="W269" s="38"/>
      <c r="X269" s="39"/>
      <c r="Y269" s="39"/>
      <c r="Z269" s="39"/>
      <c r="AA269" s="39"/>
      <c r="AB269" s="37"/>
      <c r="AF269" s="257"/>
      <c r="AG269" s="236"/>
      <c r="AH269" s="237"/>
    </row>
    <row r="270" spans="1:34" ht="15" customHeight="1">
      <c r="A270" s="38"/>
      <c r="B270" s="233"/>
      <c r="C270" s="36"/>
      <c r="D270" s="39"/>
      <c r="E270" s="39"/>
      <c r="F270" s="235"/>
      <c r="G270" s="36"/>
      <c r="H270" s="39"/>
      <c r="I270" s="37"/>
      <c r="J270" s="38"/>
      <c r="K270" s="39"/>
      <c r="L270" s="39"/>
      <c r="M270" s="39"/>
      <c r="N270" s="39"/>
      <c r="O270" s="37"/>
      <c r="P270" s="38"/>
      <c r="Q270" s="39"/>
      <c r="R270" s="37"/>
      <c r="S270" s="38"/>
      <c r="T270" s="39"/>
      <c r="U270" s="37"/>
      <c r="V270" s="259"/>
      <c r="W270" s="38"/>
      <c r="X270" s="39"/>
      <c r="Y270" s="39"/>
      <c r="Z270" s="39"/>
      <c r="AA270" s="39"/>
      <c r="AB270" s="37"/>
      <c r="AF270" s="257"/>
      <c r="AG270" s="236"/>
      <c r="AH270" s="237"/>
    </row>
    <row r="271" spans="1:34" ht="15" customHeight="1">
      <c r="A271" s="38"/>
      <c r="B271" s="233"/>
      <c r="C271" s="36"/>
      <c r="D271" s="39"/>
      <c r="E271" s="39"/>
      <c r="F271" s="235"/>
      <c r="G271" s="36"/>
      <c r="H271" s="39"/>
      <c r="I271" s="37"/>
      <c r="J271" s="38"/>
      <c r="K271" s="39"/>
      <c r="L271" s="39"/>
      <c r="M271" s="39"/>
      <c r="N271" s="39"/>
      <c r="O271" s="37"/>
      <c r="P271" s="38"/>
      <c r="Q271" s="39"/>
      <c r="R271" s="37"/>
      <c r="S271" s="38"/>
      <c r="T271" s="39"/>
      <c r="U271" s="37"/>
      <c r="V271" s="259"/>
      <c r="W271" s="38"/>
      <c r="X271" s="39"/>
      <c r="Y271" s="39"/>
      <c r="Z271" s="39"/>
      <c r="AA271" s="39"/>
      <c r="AB271" s="37"/>
      <c r="AF271" s="257"/>
      <c r="AG271" s="236"/>
      <c r="AH271" s="237"/>
    </row>
    <row r="272" spans="1:34" ht="15" customHeight="1">
      <c r="A272" s="38"/>
      <c r="B272" s="233"/>
      <c r="C272" s="36"/>
      <c r="D272" s="39"/>
      <c r="E272" s="39"/>
      <c r="F272" s="235"/>
      <c r="G272" s="36"/>
      <c r="H272" s="39"/>
      <c r="I272" s="37"/>
      <c r="J272" s="38"/>
      <c r="K272" s="39"/>
      <c r="L272" s="39"/>
      <c r="M272" s="39"/>
      <c r="N272" s="39"/>
      <c r="O272" s="37"/>
      <c r="P272" s="38"/>
      <c r="Q272" s="39"/>
      <c r="R272" s="37"/>
      <c r="S272" s="38"/>
      <c r="T272" s="39"/>
      <c r="U272" s="37"/>
      <c r="V272" s="259"/>
      <c r="W272" s="38"/>
      <c r="X272" s="39"/>
      <c r="Y272" s="39"/>
      <c r="Z272" s="39"/>
      <c r="AA272" s="39"/>
      <c r="AB272" s="37"/>
      <c r="AF272" s="257"/>
      <c r="AG272" s="236"/>
      <c r="AH272" s="237"/>
    </row>
    <row r="273" spans="1:34" ht="15" customHeight="1">
      <c r="A273" s="38"/>
      <c r="B273" s="233"/>
      <c r="C273" s="36"/>
      <c r="D273" s="39"/>
      <c r="E273" s="39"/>
      <c r="F273" s="235"/>
      <c r="G273" s="36"/>
      <c r="H273" s="39"/>
      <c r="I273" s="37"/>
      <c r="J273" s="38"/>
      <c r="K273" s="39"/>
      <c r="L273" s="39"/>
      <c r="M273" s="39"/>
      <c r="N273" s="39"/>
      <c r="O273" s="37"/>
      <c r="P273" s="38"/>
      <c r="Q273" s="39"/>
      <c r="R273" s="37"/>
      <c r="S273" s="38"/>
      <c r="T273" s="39"/>
      <c r="U273" s="37"/>
      <c r="V273" s="259"/>
      <c r="W273" s="38"/>
      <c r="X273" s="39"/>
      <c r="Y273" s="39"/>
      <c r="Z273" s="39"/>
      <c r="AA273" s="39"/>
      <c r="AB273" s="37"/>
      <c r="AF273" s="257"/>
      <c r="AG273" s="236"/>
      <c r="AH273" s="237"/>
    </row>
    <row r="274" spans="1:34" ht="15" customHeight="1">
      <c r="A274" s="38"/>
      <c r="B274" s="233"/>
      <c r="C274" s="36"/>
      <c r="D274" s="39"/>
      <c r="E274" s="39"/>
      <c r="F274" s="235"/>
      <c r="G274" s="36"/>
      <c r="H274" s="39"/>
      <c r="I274" s="37"/>
      <c r="J274" s="38"/>
      <c r="K274" s="39"/>
      <c r="L274" s="39"/>
      <c r="M274" s="39"/>
      <c r="N274" s="39"/>
      <c r="O274" s="37"/>
      <c r="P274" s="38"/>
      <c r="Q274" s="39"/>
      <c r="R274" s="37"/>
      <c r="S274" s="38"/>
      <c r="T274" s="39"/>
      <c r="U274" s="37"/>
      <c r="V274" s="259"/>
      <c r="W274" s="38"/>
      <c r="X274" s="39"/>
      <c r="Y274" s="39"/>
      <c r="Z274" s="39"/>
      <c r="AA274" s="39"/>
      <c r="AB274" s="37"/>
      <c r="AF274" s="257"/>
      <c r="AG274" s="236"/>
      <c r="AH274" s="237"/>
    </row>
    <row r="275" spans="1:34" ht="15" customHeight="1">
      <c r="A275" s="38"/>
      <c r="B275" s="233"/>
      <c r="C275" s="36"/>
      <c r="D275" s="39"/>
      <c r="E275" s="39"/>
      <c r="F275" s="235"/>
      <c r="G275" s="36"/>
      <c r="H275" s="39"/>
      <c r="I275" s="37"/>
      <c r="J275" s="38"/>
      <c r="K275" s="39"/>
      <c r="L275" s="39"/>
      <c r="M275" s="39"/>
      <c r="N275" s="39"/>
      <c r="O275" s="37"/>
      <c r="P275" s="38"/>
      <c r="Q275" s="39"/>
      <c r="R275" s="37"/>
      <c r="S275" s="38"/>
      <c r="T275" s="39"/>
      <c r="U275" s="37"/>
      <c r="V275" s="259"/>
      <c r="W275" s="38"/>
      <c r="X275" s="39"/>
      <c r="Y275" s="39"/>
      <c r="Z275" s="39"/>
      <c r="AA275" s="39"/>
      <c r="AB275" s="37"/>
      <c r="AF275" s="257"/>
      <c r="AG275" s="236"/>
      <c r="AH275" s="237"/>
    </row>
    <row r="276" spans="1:34" ht="15" customHeight="1">
      <c r="A276" s="38"/>
      <c r="B276" s="233"/>
      <c r="C276" s="36"/>
      <c r="D276" s="39"/>
      <c r="E276" s="39"/>
      <c r="F276" s="235"/>
      <c r="G276" s="36"/>
      <c r="H276" s="39"/>
      <c r="I276" s="37"/>
      <c r="J276" s="38"/>
      <c r="K276" s="39"/>
      <c r="L276" s="39"/>
      <c r="M276" s="39"/>
      <c r="N276" s="39"/>
      <c r="O276" s="37"/>
      <c r="P276" s="38"/>
      <c r="Q276" s="39"/>
      <c r="R276" s="37"/>
      <c r="S276" s="38"/>
      <c r="T276" s="39"/>
      <c r="U276" s="37"/>
      <c r="V276" s="259"/>
      <c r="W276" s="38"/>
      <c r="X276" s="39"/>
      <c r="Y276" s="39"/>
      <c r="Z276" s="39"/>
      <c r="AA276" s="39"/>
      <c r="AB276" s="37"/>
      <c r="AF276" s="257"/>
      <c r="AG276" s="236"/>
      <c r="AH276" s="237"/>
    </row>
    <row r="277" spans="1:34" ht="15" customHeight="1">
      <c r="A277" s="38"/>
      <c r="B277" s="233"/>
      <c r="C277" s="36"/>
      <c r="D277" s="39"/>
      <c r="E277" s="39"/>
      <c r="F277" s="235"/>
      <c r="G277" s="36"/>
      <c r="H277" s="39"/>
      <c r="I277" s="37"/>
      <c r="J277" s="38"/>
      <c r="K277" s="39"/>
      <c r="L277" s="39"/>
      <c r="M277" s="39"/>
      <c r="N277" s="39"/>
      <c r="O277" s="37"/>
      <c r="P277" s="38"/>
      <c r="Q277" s="39"/>
      <c r="R277" s="37"/>
      <c r="S277" s="38"/>
      <c r="T277" s="39"/>
      <c r="U277" s="37"/>
      <c r="V277" s="259"/>
      <c r="W277" s="38"/>
      <c r="X277" s="39"/>
      <c r="Y277" s="39"/>
      <c r="Z277" s="39"/>
      <c r="AA277" s="39"/>
      <c r="AB277" s="37"/>
      <c r="AF277" s="257"/>
      <c r="AG277" s="236"/>
      <c r="AH277" s="237"/>
    </row>
    <row r="278" spans="1:34" ht="15" customHeight="1">
      <c r="A278" s="38"/>
      <c r="B278" s="233"/>
      <c r="C278" s="36"/>
      <c r="D278" s="39"/>
      <c r="E278" s="39"/>
      <c r="F278" s="235"/>
      <c r="G278" s="36"/>
      <c r="H278" s="39"/>
      <c r="I278" s="37"/>
      <c r="J278" s="38"/>
      <c r="K278" s="39"/>
      <c r="L278" s="39"/>
      <c r="M278" s="39"/>
      <c r="N278" s="39"/>
      <c r="O278" s="37"/>
      <c r="P278" s="38"/>
      <c r="Q278" s="39"/>
      <c r="R278" s="37"/>
      <c r="S278" s="38"/>
      <c r="T278" s="39"/>
      <c r="U278" s="37"/>
      <c r="V278" s="259"/>
      <c r="W278" s="38"/>
      <c r="X278" s="39"/>
      <c r="Y278" s="39"/>
      <c r="Z278" s="39"/>
      <c r="AA278" s="39"/>
      <c r="AB278" s="37"/>
      <c r="AF278" s="257"/>
      <c r="AG278" s="236"/>
      <c r="AH278" s="237"/>
    </row>
    <row r="279" spans="1:34" ht="15" customHeight="1">
      <c r="A279" s="38"/>
      <c r="B279" s="233"/>
      <c r="C279" s="36"/>
      <c r="D279" s="39"/>
      <c r="E279" s="39"/>
      <c r="F279" s="235"/>
      <c r="G279" s="36"/>
      <c r="H279" s="39"/>
      <c r="I279" s="37"/>
      <c r="J279" s="38"/>
      <c r="K279" s="39"/>
      <c r="L279" s="39"/>
      <c r="M279" s="39"/>
      <c r="N279" s="39"/>
      <c r="O279" s="37"/>
      <c r="P279" s="38"/>
      <c r="Q279" s="39"/>
      <c r="R279" s="37"/>
      <c r="S279" s="38"/>
      <c r="T279" s="39"/>
      <c r="U279" s="37"/>
      <c r="V279" s="259"/>
      <c r="W279" s="38"/>
      <c r="X279" s="39"/>
      <c r="Y279" s="39"/>
      <c r="Z279" s="39"/>
      <c r="AA279" s="39"/>
      <c r="AB279" s="37"/>
      <c r="AF279" s="257"/>
      <c r="AG279" s="236"/>
      <c r="AH279" s="237"/>
    </row>
    <row r="280" spans="1:34" ht="15" customHeight="1">
      <c r="A280" s="38"/>
      <c r="B280" s="233"/>
      <c r="C280" s="36"/>
      <c r="D280" s="39"/>
      <c r="E280" s="39"/>
      <c r="F280" s="235"/>
      <c r="G280" s="36"/>
      <c r="H280" s="39"/>
      <c r="I280" s="37"/>
      <c r="J280" s="38"/>
      <c r="K280" s="39"/>
      <c r="L280" s="39"/>
      <c r="M280" s="39"/>
      <c r="N280" s="39"/>
      <c r="O280" s="37"/>
      <c r="P280" s="38"/>
      <c r="Q280" s="39"/>
      <c r="R280" s="37"/>
      <c r="S280" s="38"/>
      <c r="T280" s="39"/>
      <c r="U280" s="37"/>
      <c r="V280" s="259"/>
      <c r="W280" s="38"/>
      <c r="X280" s="39"/>
      <c r="Y280" s="39"/>
      <c r="Z280" s="39"/>
      <c r="AA280" s="39"/>
      <c r="AB280" s="37"/>
      <c r="AF280" s="257"/>
      <c r="AG280" s="236"/>
      <c r="AH280" s="237"/>
    </row>
    <row r="281" spans="1:34" ht="15" customHeight="1">
      <c r="A281" s="38"/>
      <c r="B281" s="233"/>
      <c r="C281" s="36"/>
      <c r="D281" s="39"/>
      <c r="E281" s="39"/>
      <c r="F281" s="235"/>
      <c r="G281" s="36"/>
      <c r="H281" s="39"/>
      <c r="I281" s="37"/>
      <c r="J281" s="38"/>
      <c r="K281" s="39"/>
      <c r="L281" s="39"/>
      <c r="M281" s="39"/>
      <c r="N281" s="39"/>
      <c r="O281" s="37"/>
      <c r="P281" s="38"/>
      <c r="Q281" s="39"/>
      <c r="R281" s="37"/>
      <c r="S281" s="38"/>
      <c r="T281" s="39"/>
      <c r="U281" s="37"/>
      <c r="V281" s="259"/>
      <c r="W281" s="38"/>
      <c r="X281" s="39"/>
      <c r="Y281" s="39"/>
      <c r="Z281" s="39"/>
      <c r="AA281" s="39"/>
      <c r="AB281" s="37"/>
      <c r="AF281" s="257"/>
      <c r="AG281" s="236"/>
      <c r="AH281" s="237"/>
    </row>
    <row r="282" spans="1:34" ht="15" customHeight="1">
      <c r="A282" s="38"/>
      <c r="B282" s="233"/>
      <c r="C282" s="36"/>
      <c r="D282" s="39"/>
      <c r="E282" s="39"/>
      <c r="F282" s="235"/>
      <c r="G282" s="36"/>
      <c r="H282" s="39"/>
      <c r="I282" s="37"/>
      <c r="J282" s="38"/>
      <c r="K282" s="39"/>
      <c r="L282" s="39"/>
      <c r="M282" s="39"/>
      <c r="N282" s="39"/>
      <c r="O282" s="37"/>
      <c r="P282" s="38"/>
      <c r="Q282" s="39"/>
      <c r="R282" s="37"/>
      <c r="S282" s="38"/>
      <c r="T282" s="39"/>
      <c r="U282" s="37"/>
      <c r="V282" s="259"/>
      <c r="W282" s="38"/>
      <c r="X282" s="39"/>
      <c r="Y282" s="39"/>
      <c r="Z282" s="39"/>
      <c r="AA282" s="39"/>
      <c r="AB282" s="37"/>
      <c r="AF282" s="257"/>
      <c r="AG282" s="236"/>
      <c r="AH282" s="237"/>
    </row>
    <row r="283" spans="1:34" ht="15" customHeight="1">
      <c r="A283" s="38"/>
      <c r="B283" s="233"/>
      <c r="C283" s="36"/>
      <c r="D283" s="39"/>
      <c r="E283" s="39"/>
      <c r="F283" s="235"/>
      <c r="G283" s="36"/>
      <c r="H283" s="39"/>
      <c r="I283" s="37"/>
      <c r="J283" s="38"/>
      <c r="K283" s="39"/>
      <c r="L283" s="39"/>
      <c r="M283" s="39"/>
      <c r="N283" s="39"/>
      <c r="O283" s="37"/>
      <c r="P283" s="38"/>
      <c r="Q283" s="39"/>
      <c r="R283" s="37"/>
      <c r="S283" s="38"/>
      <c r="T283" s="39"/>
      <c r="U283" s="37"/>
      <c r="V283" s="259"/>
      <c r="W283" s="38"/>
      <c r="X283" s="39"/>
      <c r="Y283" s="39"/>
      <c r="Z283" s="39"/>
      <c r="AA283" s="39"/>
      <c r="AB283" s="37"/>
      <c r="AF283" s="257"/>
      <c r="AG283" s="236"/>
      <c r="AH283" s="237"/>
    </row>
    <row r="284" spans="1:34" ht="15" customHeight="1">
      <c r="A284" s="38"/>
      <c r="B284" s="233"/>
      <c r="C284" s="36"/>
      <c r="D284" s="39"/>
      <c r="E284" s="39"/>
      <c r="F284" s="235"/>
      <c r="G284" s="36"/>
      <c r="H284" s="39"/>
      <c r="I284" s="37"/>
      <c r="J284" s="38"/>
      <c r="K284" s="39"/>
      <c r="L284" s="39"/>
      <c r="M284" s="39"/>
      <c r="N284" s="39"/>
      <c r="O284" s="37"/>
      <c r="P284" s="38"/>
      <c r="Q284" s="39"/>
      <c r="R284" s="37"/>
      <c r="S284" s="38"/>
      <c r="T284" s="39"/>
      <c r="U284" s="37"/>
      <c r="V284" s="259"/>
      <c r="W284" s="38"/>
      <c r="X284" s="39"/>
      <c r="Y284" s="39"/>
      <c r="Z284" s="39"/>
      <c r="AA284" s="39"/>
      <c r="AB284" s="37"/>
      <c r="AF284" s="257"/>
      <c r="AG284" s="236"/>
      <c r="AH284" s="237"/>
    </row>
    <row r="285" spans="1:34" ht="15" customHeight="1">
      <c r="A285" s="38"/>
      <c r="B285" s="233"/>
      <c r="C285" s="36"/>
      <c r="D285" s="39"/>
      <c r="E285" s="39"/>
      <c r="F285" s="235"/>
      <c r="G285" s="36"/>
      <c r="H285" s="39"/>
      <c r="I285" s="37"/>
      <c r="J285" s="38"/>
      <c r="K285" s="39"/>
      <c r="L285" s="39"/>
      <c r="M285" s="39"/>
      <c r="N285" s="39"/>
      <c r="O285" s="37"/>
      <c r="P285" s="38"/>
      <c r="Q285" s="39"/>
      <c r="R285" s="37"/>
      <c r="S285" s="38"/>
      <c r="T285" s="39"/>
      <c r="U285" s="37"/>
      <c r="V285" s="259"/>
      <c r="W285" s="38"/>
      <c r="X285" s="39"/>
      <c r="Y285" s="39"/>
      <c r="Z285" s="39"/>
      <c r="AA285" s="39"/>
      <c r="AB285" s="37"/>
      <c r="AF285" s="257"/>
      <c r="AG285" s="236"/>
      <c r="AH285" s="237"/>
    </row>
    <row r="286" spans="1:34" ht="15" customHeight="1">
      <c r="A286" s="38"/>
      <c r="B286" s="233"/>
      <c r="C286" s="36"/>
      <c r="D286" s="39"/>
      <c r="E286" s="39"/>
      <c r="F286" s="235"/>
      <c r="G286" s="36"/>
      <c r="H286" s="39"/>
      <c r="I286" s="37"/>
      <c r="J286" s="38"/>
      <c r="K286" s="39"/>
      <c r="L286" s="39"/>
      <c r="M286" s="39"/>
      <c r="N286" s="39"/>
      <c r="O286" s="37"/>
      <c r="P286" s="38"/>
      <c r="Q286" s="39"/>
      <c r="R286" s="37"/>
      <c r="S286" s="38"/>
      <c r="T286" s="39"/>
      <c r="U286" s="37"/>
      <c r="V286" s="259"/>
      <c r="W286" s="38"/>
      <c r="X286" s="39"/>
      <c r="Y286" s="39"/>
      <c r="Z286" s="39"/>
      <c r="AA286" s="39"/>
      <c r="AB286" s="37"/>
      <c r="AF286" s="257"/>
      <c r="AG286" s="236"/>
      <c r="AH286" s="237"/>
    </row>
    <row r="287" spans="1:34" ht="15" customHeight="1">
      <c r="A287" s="38"/>
      <c r="B287" s="233"/>
      <c r="C287" s="36"/>
      <c r="D287" s="39"/>
      <c r="E287" s="39"/>
      <c r="F287" s="235"/>
      <c r="G287" s="36"/>
      <c r="H287" s="39"/>
      <c r="I287" s="37"/>
      <c r="J287" s="38"/>
      <c r="K287" s="39"/>
      <c r="L287" s="39"/>
      <c r="M287" s="39"/>
      <c r="N287" s="39"/>
      <c r="O287" s="37"/>
      <c r="P287" s="38"/>
      <c r="Q287" s="39"/>
      <c r="R287" s="37"/>
      <c r="S287" s="38"/>
      <c r="T287" s="39"/>
      <c r="U287" s="37"/>
      <c r="V287" s="259"/>
      <c r="W287" s="38"/>
      <c r="X287" s="39"/>
      <c r="Y287" s="39"/>
      <c r="Z287" s="39"/>
      <c r="AA287" s="39"/>
      <c r="AB287" s="37"/>
      <c r="AF287" s="257"/>
      <c r="AG287" s="236"/>
      <c r="AH287" s="237"/>
    </row>
    <row r="288" spans="1:34" ht="15" customHeight="1">
      <c r="A288" s="38"/>
      <c r="B288" s="233"/>
      <c r="C288" s="36"/>
      <c r="D288" s="39"/>
      <c r="E288" s="39"/>
      <c r="F288" s="235"/>
      <c r="G288" s="36"/>
      <c r="H288" s="39"/>
      <c r="I288" s="37"/>
      <c r="J288" s="38"/>
      <c r="K288" s="39"/>
      <c r="L288" s="39"/>
      <c r="M288" s="39"/>
      <c r="N288" s="39"/>
      <c r="O288" s="37"/>
      <c r="P288" s="38"/>
      <c r="Q288" s="39"/>
      <c r="R288" s="37"/>
      <c r="S288" s="38"/>
      <c r="T288" s="39"/>
      <c r="U288" s="37"/>
      <c r="V288" s="259"/>
      <c r="W288" s="38"/>
      <c r="X288" s="39"/>
      <c r="Y288" s="39"/>
      <c r="Z288" s="39"/>
      <c r="AA288" s="39"/>
      <c r="AB288" s="37"/>
      <c r="AF288" s="257"/>
      <c r="AG288" s="236"/>
      <c r="AH288" s="237"/>
    </row>
    <row r="289" spans="1:34" ht="15" customHeight="1">
      <c r="A289" s="38"/>
      <c r="B289" s="233"/>
      <c r="C289" s="36"/>
      <c r="D289" s="39"/>
      <c r="E289" s="39"/>
      <c r="F289" s="235"/>
      <c r="G289" s="36"/>
      <c r="H289" s="39"/>
      <c r="I289" s="37"/>
      <c r="J289" s="38"/>
      <c r="K289" s="39"/>
      <c r="L289" s="39"/>
      <c r="M289" s="39"/>
      <c r="N289" s="39"/>
      <c r="O289" s="37"/>
      <c r="P289" s="38"/>
      <c r="Q289" s="39"/>
      <c r="R289" s="37"/>
      <c r="S289" s="38"/>
      <c r="T289" s="39"/>
      <c r="U289" s="37"/>
      <c r="V289" s="259"/>
      <c r="W289" s="38"/>
      <c r="X289" s="39"/>
      <c r="Y289" s="39"/>
      <c r="Z289" s="39"/>
      <c r="AA289" s="39"/>
      <c r="AB289" s="37"/>
      <c r="AF289" s="257"/>
      <c r="AG289" s="236"/>
      <c r="AH289" s="237"/>
    </row>
    <row r="290" spans="1:34" ht="15" customHeight="1">
      <c r="A290" s="38"/>
      <c r="B290" s="233"/>
      <c r="C290" s="36"/>
      <c r="D290" s="39"/>
      <c r="E290" s="39"/>
      <c r="F290" s="235"/>
      <c r="G290" s="36"/>
      <c r="H290" s="39"/>
      <c r="I290" s="37"/>
      <c r="J290" s="38"/>
      <c r="K290" s="39"/>
      <c r="L290" s="39"/>
      <c r="M290" s="39"/>
      <c r="N290" s="39"/>
      <c r="O290" s="37"/>
      <c r="P290" s="38"/>
      <c r="Q290" s="39"/>
      <c r="R290" s="37"/>
      <c r="S290" s="38"/>
      <c r="T290" s="39"/>
      <c r="U290" s="37"/>
      <c r="V290" s="259"/>
      <c r="W290" s="38"/>
      <c r="X290" s="39"/>
      <c r="Y290" s="39"/>
      <c r="Z290" s="39"/>
      <c r="AA290" s="39"/>
      <c r="AB290" s="37"/>
      <c r="AF290" s="257"/>
      <c r="AG290" s="236"/>
      <c r="AH290" s="237"/>
    </row>
    <row r="291" spans="1:34" ht="15" customHeight="1">
      <c r="A291" s="38"/>
      <c r="B291" s="233"/>
      <c r="C291" s="36"/>
      <c r="D291" s="39"/>
      <c r="E291" s="39"/>
      <c r="F291" s="235"/>
      <c r="G291" s="36"/>
      <c r="H291" s="39"/>
      <c r="I291" s="37"/>
      <c r="J291" s="38"/>
      <c r="K291" s="39"/>
      <c r="L291" s="39"/>
      <c r="M291" s="39"/>
      <c r="N291" s="39"/>
      <c r="O291" s="37"/>
      <c r="P291" s="38"/>
      <c r="Q291" s="39"/>
      <c r="R291" s="37"/>
      <c r="S291" s="38"/>
      <c r="T291" s="39"/>
      <c r="U291" s="37"/>
      <c r="V291" s="259"/>
      <c r="W291" s="38"/>
      <c r="X291" s="39"/>
      <c r="Y291" s="39"/>
      <c r="Z291" s="39"/>
      <c r="AA291" s="39"/>
      <c r="AB291" s="37"/>
      <c r="AF291" s="257"/>
      <c r="AG291" s="236"/>
      <c r="AH291" s="237"/>
    </row>
    <row r="292" spans="1:34" ht="15" customHeight="1">
      <c r="A292" s="38"/>
      <c r="B292" s="233"/>
      <c r="C292" s="36"/>
      <c r="D292" s="39"/>
      <c r="E292" s="39"/>
      <c r="F292" s="235"/>
      <c r="G292" s="36"/>
      <c r="H292" s="39"/>
      <c r="I292" s="37"/>
      <c r="J292" s="38"/>
      <c r="K292" s="39"/>
      <c r="L292" s="39"/>
      <c r="M292" s="39"/>
      <c r="N292" s="39"/>
      <c r="O292" s="37"/>
      <c r="P292" s="38"/>
      <c r="Q292" s="39"/>
      <c r="R292" s="37"/>
      <c r="S292" s="38"/>
      <c r="T292" s="39"/>
      <c r="U292" s="37"/>
      <c r="V292" s="259"/>
      <c r="W292" s="38"/>
      <c r="X292" s="39"/>
      <c r="Y292" s="39"/>
      <c r="Z292" s="39"/>
      <c r="AA292" s="39"/>
      <c r="AB292" s="37"/>
      <c r="AF292" s="257"/>
      <c r="AG292" s="236"/>
      <c r="AH292" s="237"/>
    </row>
    <row r="293" spans="1:34" ht="15" customHeight="1">
      <c r="A293" s="38"/>
      <c r="B293" s="233"/>
      <c r="C293" s="36"/>
      <c r="D293" s="39"/>
      <c r="E293" s="39"/>
      <c r="F293" s="235"/>
      <c r="G293" s="36"/>
      <c r="H293" s="39"/>
      <c r="I293" s="37"/>
      <c r="J293" s="38"/>
      <c r="K293" s="39"/>
      <c r="L293" s="39"/>
      <c r="M293" s="39"/>
      <c r="N293" s="39"/>
      <c r="O293" s="37"/>
      <c r="P293" s="38"/>
      <c r="Q293" s="39"/>
      <c r="R293" s="37"/>
      <c r="S293" s="38"/>
      <c r="T293" s="39"/>
      <c r="U293" s="37"/>
      <c r="V293" s="259"/>
      <c r="W293" s="38"/>
      <c r="X293" s="39"/>
      <c r="Y293" s="39"/>
      <c r="Z293" s="39"/>
      <c r="AA293" s="39"/>
      <c r="AB293" s="37"/>
      <c r="AF293" s="257"/>
      <c r="AG293" s="236"/>
      <c r="AH293" s="237"/>
    </row>
    <row r="294" spans="1:34" ht="15" customHeight="1">
      <c r="A294" s="38"/>
      <c r="B294" s="233"/>
      <c r="C294" s="36"/>
      <c r="D294" s="39"/>
      <c r="E294" s="39"/>
      <c r="F294" s="235"/>
      <c r="G294" s="36"/>
      <c r="H294" s="39"/>
      <c r="I294" s="37"/>
      <c r="J294" s="38"/>
      <c r="K294" s="39"/>
      <c r="L294" s="39"/>
      <c r="M294" s="39"/>
      <c r="N294" s="39"/>
      <c r="O294" s="37"/>
      <c r="P294" s="38"/>
      <c r="Q294" s="39"/>
      <c r="R294" s="37"/>
      <c r="S294" s="38"/>
      <c r="T294" s="39"/>
      <c r="U294" s="37"/>
      <c r="V294" s="259"/>
      <c r="W294" s="38"/>
      <c r="X294" s="39"/>
      <c r="Y294" s="39"/>
      <c r="Z294" s="39"/>
      <c r="AA294" s="39"/>
      <c r="AB294" s="37"/>
      <c r="AF294" s="257"/>
      <c r="AG294" s="236"/>
      <c r="AH294" s="237"/>
    </row>
    <row r="295" spans="1:34" ht="15" customHeight="1">
      <c r="A295" s="38"/>
      <c r="B295" s="233"/>
      <c r="C295" s="36"/>
      <c r="D295" s="39"/>
      <c r="E295" s="39"/>
      <c r="F295" s="235"/>
      <c r="G295" s="36"/>
      <c r="H295" s="39"/>
      <c r="I295" s="37"/>
      <c r="J295" s="38"/>
      <c r="K295" s="39"/>
      <c r="L295" s="39"/>
      <c r="M295" s="39"/>
      <c r="N295" s="39"/>
      <c r="O295" s="37"/>
      <c r="P295" s="38"/>
      <c r="Q295" s="39"/>
      <c r="R295" s="37"/>
      <c r="S295" s="38"/>
      <c r="T295" s="39"/>
      <c r="U295" s="37"/>
      <c r="V295" s="259"/>
      <c r="W295" s="38"/>
      <c r="X295" s="39"/>
      <c r="Y295" s="39"/>
      <c r="Z295" s="39"/>
      <c r="AA295" s="39"/>
      <c r="AB295" s="37"/>
      <c r="AF295" s="257"/>
      <c r="AG295" s="236"/>
      <c r="AH295" s="237"/>
    </row>
    <row r="296" spans="1:34" ht="15" customHeight="1">
      <c r="A296" s="38"/>
      <c r="B296" s="233"/>
      <c r="C296" s="36"/>
      <c r="D296" s="39"/>
      <c r="E296" s="39"/>
      <c r="F296" s="235"/>
      <c r="G296" s="36"/>
      <c r="H296" s="39"/>
      <c r="I296" s="37"/>
      <c r="J296" s="38"/>
      <c r="K296" s="39"/>
      <c r="L296" s="39"/>
      <c r="M296" s="39"/>
      <c r="N296" s="39"/>
      <c r="O296" s="37"/>
      <c r="P296" s="38"/>
      <c r="Q296" s="39"/>
      <c r="R296" s="37"/>
      <c r="S296" s="38"/>
      <c r="T296" s="39"/>
      <c r="U296" s="37"/>
      <c r="V296" s="259"/>
      <c r="W296" s="38"/>
      <c r="X296" s="39"/>
      <c r="Y296" s="39"/>
      <c r="Z296" s="39"/>
      <c r="AA296" s="39"/>
      <c r="AB296" s="37"/>
      <c r="AF296" s="257"/>
      <c r="AG296" s="236"/>
      <c r="AH296" s="237"/>
    </row>
    <row r="297" spans="1:34" ht="15" customHeight="1">
      <c r="A297" s="38"/>
      <c r="B297" s="233"/>
      <c r="C297" s="36"/>
      <c r="D297" s="39"/>
      <c r="E297" s="39"/>
      <c r="F297" s="235"/>
      <c r="G297" s="36"/>
      <c r="H297" s="39"/>
      <c r="I297" s="37"/>
      <c r="J297" s="38"/>
      <c r="K297" s="39"/>
      <c r="L297" s="39"/>
      <c r="M297" s="39"/>
      <c r="N297" s="39"/>
      <c r="O297" s="37"/>
      <c r="P297" s="38"/>
      <c r="Q297" s="39"/>
      <c r="R297" s="37"/>
      <c r="S297" s="38"/>
      <c r="T297" s="39"/>
      <c r="U297" s="37"/>
      <c r="V297" s="259"/>
      <c r="W297" s="38"/>
      <c r="X297" s="39"/>
      <c r="Y297" s="39"/>
      <c r="Z297" s="39"/>
      <c r="AA297" s="39"/>
      <c r="AB297" s="37"/>
      <c r="AF297" s="257"/>
      <c r="AG297" s="236"/>
      <c r="AH297" s="237"/>
    </row>
    <row r="298" spans="1:34" ht="15" customHeight="1">
      <c r="A298" s="38"/>
      <c r="B298" s="233"/>
      <c r="C298" s="36"/>
      <c r="D298" s="39"/>
      <c r="E298" s="39"/>
      <c r="F298" s="235"/>
      <c r="G298" s="36"/>
      <c r="H298" s="39"/>
      <c r="I298" s="37"/>
      <c r="J298" s="38"/>
      <c r="K298" s="39"/>
      <c r="L298" s="39"/>
      <c r="M298" s="39"/>
      <c r="N298" s="39"/>
      <c r="O298" s="37"/>
      <c r="P298" s="38"/>
      <c r="Q298" s="39"/>
      <c r="R298" s="37"/>
      <c r="S298" s="38"/>
      <c r="T298" s="39"/>
      <c r="U298" s="37"/>
      <c r="V298" s="259"/>
      <c r="W298" s="38"/>
      <c r="X298" s="39"/>
      <c r="Y298" s="39"/>
      <c r="Z298" s="39"/>
      <c r="AA298" s="39"/>
      <c r="AB298" s="37"/>
      <c r="AF298" s="257"/>
      <c r="AG298" s="236"/>
      <c r="AH298" s="237"/>
    </row>
    <row r="299" spans="1:34" ht="15" customHeight="1">
      <c r="A299" s="38"/>
      <c r="B299" s="233"/>
      <c r="C299" s="36"/>
      <c r="D299" s="39"/>
      <c r="E299" s="39"/>
      <c r="F299" s="235"/>
      <c r="G299" s="36"/>
      <c r="H299" s="39"/>
      <c r="I299" s="37"/>
      <c r="J299" s="38"/>
      <c r="K299" s="39"/>
      <c r="L299" s="39"/>
      <c r="M299" s="39"/>
      <c r="N299" s="39"/>
      <c r="O299" s="37"/>
      <c r="P299" s="38"/>
      <c r="Q299" s="39"/>
      <c r="R299" s="37"/>
      <c r="S299" s="38"/>
      <c r="T299" s="39"/>
      <c r="U299" s="37"/>
      <c r="V299" s="259"/>
      <c r="W299" s="38"/>
      <c r="X299" s="39"/>
      <c r="Y299" s="39"/>
      <c r="Z299" s="39"/>
      <c r="AA299" s="39"/>
      <c r="AB299" s="37"/>
      <c r="AF299" s="257"/>
      <c r="AG299" s="236"/>
      <c r="AH299" s="237"/>
    </row>
    <row r="300" spans="1:34" ht="15" customHeight="1">
      <c r="A300" s="38"/>
      <c r="B300" s="233"/>
      <c r="C300" s="36"/>
      <c r="D300" s="39"/>
      <c r="E300" s="39"/>
      <c r="F300" s="235"/>
      <c r="G300" s="36"/>
      <c r="H300" s="39"/>
      <c r="I300" s="37"/>
      <c r="J300" s="38"/>
      <c r="K300" s="39"/>
      <c r="L300" s="39"/>
      <c r="M300" s="39"/>
      <c r="N300" s="39"/>
      <c r="O300" s="37"/>
      <c r="P300" s="38"/>
      <c r="Q300" s="39"/>
      <c r="R300" s="37"/>
      <c r="S300" s="38"/>
      <c r="T300" s="39"/>
      <c r="U300" s="37"/>
      <c r="V300" s="259"/>
      <c r="W300" s="38"/>
      <c r="X300" s="39"/>
      <c r="Y300" s="39"/>
      <c r="Z300" s="39"/>
      <c r="AA300" s="39"/>
      <c r="AB300" s="37"/>
      <c r="AF300" s="257"/>
      <c r="AG300" s="236"/>
      <c r="AH300" s="237"/>
    </row>
    <row r="301" spans="1:34" ht="15" customHeight="1">
      <c r="A301" s="38"/>
      <c r="B301" s="233"/>
      <c r="C301" s="36"/>
      <c r="D301" s="39"/>
      <c r="E301" s="39"/>
      <c r="F301" s="235"/>
      <c r="G301" s="36"/>
      <c r="H301" s="39"/>
      <c r="I301" s="37"/>
      <c r="J301" s="38"/>
      <c r="K301" s="39"/>
      <c r="L301" s="39"/>
      <c r="M301" s="39"/>
      <c r="N301" s="39"/>
      <c r="O301" s="37"/>
      <c r="P301" s="38"/>
      <c r="Q301" s="39"/>
      <c r="R301" s="37"/>
      <c r="S301" s="38"/>
      <c r="T301" s="39"/>
      <c r="U301" s="37"/>
      <c r="V301" s="259"/>
      <c r="W301" s="38"/>
      <c r="X301" s="39"/>
      <c r="Y301" s="39"/>
      <c r="Z301" s="39"/>
      <c r="AA301" s="39"/>
      <c r="AB301" s="37"/>
      <c r="AF301" s="257"/>
      <c r="AG301" s="236"/>
      <c r="AH301" s="237"/>
    </row>
    <row r="302" spans="1:34" ht="15" customHeight="1">
      <c r="A302" s="38"/>
      <c r="B302" s="233"/>
      <c r="C302" s="36"/>
      <c r="D302" s="39"/>
      <c r="E302" s="39"/>
      <c r="F302" s="235"/>
      <c r="G302" s="36"/>
      <c r="H302" s="39"/>
      <c r="I302" s="37"/>
      <c r="J302" s="38"/>
      <c r="K302" s="39"/>
      <c r="L302" s="39"/>
      <c r="M302" s="39"/>
      <c r="N302" s="39"/>
      <c r="O302" s="37"/>
      <c r="P302" s="38"/>
      <c r="Q302" s="39"/>
      <c r="R302" s="37"/>
      <c r="S302" s="38"/>
      <c r="T302" s="39"/>
      <c r="U302" s="37"/>
      <c r="V302" s="259"/>
      <c r="W302" s="38"/>
      <c r="X302" s="39"/>
      <c r="Y302" s="39"/>
      <c r="Z302" s="39"/>
      <c r="AA302" s="39"/>
      <c r="AB302" s="37"/>
      <c r="AF302" s="257"/>
      <c r="AG302" s="236"/>
      <c r="AH302" s="237"/>
    </row>
    <row r="303" spans="1:34" ht="15" customHeight="1">
      <c r="A303" s="38"/>
      <c r="B303" s="233"/>
      <c r="C303" s="36"/>
      <c r="D303" s="39"/>
      <c r="E303" s="39"/>
      <c r="F303" s="235"/>
      <c r="G303" s="36"/>
      <c r="H303" s="39"/>
      <c r="I303" s="37"/>
      <c r="J303" s="38"/>
      <c r="K303" s="39"/>
      <c r="L303" s="39"/>
      <c r="M303" s="39"/>
      <c r="N303" s="39"/>
      <c r="O303" s="37"/>
      <c r="P303" s="38"/>
      <c r="Q303" s="39"/>
      <c r="R303" s="37"/>
      <c r="S303" s="38"/>
      <c r="T303" s="39"/>
      <c r="U303" s="37"/>
      <c r="V303" s="259"/>
      <c r="W303" s="38"/>
      <c r="X303" s="39"/>
      <c r="Y303" s="39"/>
      <c r="Z303" s="39"/>
      <c r="AA303" s="39"/>
      <c r="AB303" s="37"/>
      <c r="AF303" s="257"/>
      <c r="AG303" s="236"/>
      <c r="AH303" s="237"/>
    </row>
    <row r="304" spans="1:34" ht="15" customHeight="1">
      <c r="A304" s="38"/>
      <c r="B304" s="233"/>
      <c r="C304" s="36"/>
      <c r="D304" s="39"/>
      <c r="E304" s="39"/>
      <c r="F304" s="235"/>
      <c r="G304" s="36"/>
      <c r="H304" s="39"/>
      <c r="I304" s="37"/>
      <c r="J304" s="38"/>
      <c r="K304" s="39"/>
      <c r="L304" s="39"/>
      <c r="M304" s="39"/>
      <c r="N304" s="39"/>
      <c r="O304" s="37"/>
      <c r="P304" s="38"/>
      <c r="Q304" s="39"/>
      <c r="R304" s="37"/>
      <c r="S304" s="38"/>
      <c r="T304" s="39"/>
      <c r="U304" s="37"/>
      <c r="V304" s="259"/>
      <c r="W304" s="38"/>
      <c r="X304" s="39"/>
      <c r="Y304" s="39"/>
      <c r="Z304" s="39"/>
      <c r="AA304" s="39"/>
      <c r="AB304" s="37"/>
      <c r="AF304" s="257"/>
      <c r="AG304" s="236"/>
      <c r="AH304" s="237"/>
    </row>
    <row r="305" spans="1:34" ht="15" customHeight="1">
      <c r="A305" s="38"/>
      <c r="B305" s="233"/>
      <c r="C305" s="36"/>
      <c r="D305" s="39"/>
      <c r="E305" s="39"/>
      <c r="F305" s="235"/>
      <c r="G305" s="36"/>
      <c r="H305" s="39"/>
      <c r="I305" s="37"/>
      <c r="J305" s="38"/>
      <c r="K305" s="39"/>
      <c r="L305" s="39"/>
      <c r="M305" s="39"/>
      <c r="N305" s="39"/>
      <c r="O305" s="37"/>
      <c r="P305" s="38"/>
      <c r="Q305" s="39"/>
      <c r="R305" s="37"/>
      <c r="S305" s="38"/>
      <c r="T305" s="39"/>
      <c r="U305" s="37"/>
      <c r="V305" s="259"/>
      <c r="W305" s="38"/>
      <c r="X305" s="39"/>
      <c r="Y305" s="39"/>
      <c r="Z305" s="39"/>
      <c r="AA305" s="39"/>
      <c r="AB305" s="37"/>
      <c r="AF305" s="257"/>
      <c r="AG305" s="236"/>
      <c r="AH305" s="237"/>
    </row>
    <row r="306" spans="1:34" ht="15" customHeight="1">
      <c r="A306" s="38"/>
      <c r="B306" s="233"/>
      <c r="C306" s="36"/>
      <c r="D306" s="39"/>
      <c r="E306" s="39"/>
      <c r="F306" s="235"/>
      <c r="G306" s="36"/>
      <c r="H306" s="39"/>
      <c r="I306" s="37"/>
      <c r="J306" s="38"/>
      <c r="K306" s="39"/>
      <c r="L306" s="39"/>
      <c r="M306" s="39"/>
      <c r="N306" s="39"/>
      <c r="O306" s="37"/>
      <c r="P306" s="38"/>
      <c r="Q306" s="39"/>
      <c r="R306" s="37"/>
      <c r="S306" s="38"/>
      <c r="T306" s="39"/>
      <c r="U306" s="37"/>
      <c r="V306" s="259"/>
      <c r="W306" s="38"/>
      <c r="X306" s="39"/>
      <c r="Y306" s="39"/>
      <c r="Z306" s="39"/>
      <c r="AA306" s="39"/>
      <c r="AB306" s="37"/>
      <c r="AF306" s="257"/>
      <c r="AG306" s="236"/>
      <c r="AH306" s="237"/>
    </row>
    <row r="307" spans="1:34" ht="15" customHeight="1">
      <c r="A307" s="38"/>
      <c r="B307" s="233"/>
      <c r="C307" s="36"/>
      <c r="D307" s="39"/>
      <c r="E307" s="39"/>
      <c r="F307" s="235"/>
      <c r="G307" s="36"/>
      <c r="H307" s="39"/>
      <c r="I307" s="37"/>
      <c r="J307" s="38"/>
      <c r="K307" s="39"/>
      <c r="L307" s="39"/>
      <c r="M307" s="39"/>
      <c r="N307" s="39"/>
      <c r="O307" s="37"/>
      <c r="P307" s="38"/>
      <c r="Q307" s="39"/>
      <c r="R307" s="37"/>
      <c r="S307" s="38"/>
      <c r="T307" s="39"/>
      <c r="U307" s="37"/>
      <c r="V307" s="259"/>
      <c r="W307" s="38"/>
      <c r="X307" s="39"/>
      <c r="Y307" s="39"/>
      <c r="Z307" s="39"/>
      <c r="AA307" s="39"/>
      <c r="AB307" s="37"/>
      <c r="AF307" s="257"/>
      <c r="AG307" s="236"/>
      <c r="AH307" s="237"/>
    </row>
    <row r="308" spans="1:34" ht="15" customHeight="1">
      <c r="A308" s="38"/>
      <c r="B308" s="233"/>
      <c r="C308" s="36"/>
      <c r="D308" s="39"/>
      <c r="E308" s="39"/>
      <c r="F308" s="235"/>
      <c r="G308" s="36"/>
      <c r="H308" s="39"/>
      <c r="I308" s="37"/>
      <c r="J308" s="38"/>
      <c r="K308" s="39"/>
      <c r="L308" s="39"/>
      <c r="M308" s="39"/>
      <c r="N308" s="39"/>
      <c r="O308" s="37"/>
      <c r="P308" s="38"/>
      <c r="Q308" s="39"/>
      <c r="R308" s="37"/>
      <c r="S308" s="38"/>
      <c r="T308" s="39"/>
      <c r="U308" s="37"/>
      <c r="V308" s="259"/>
      <c r="W308" s="38"/>
      <c r="X308" s="39"/>
      <c r="Y308" s="39"/>
      <c r="Z308" s="39"/>
      <c r="AA308" s="39"/>
      <c r="AB308" s="37"/>
      <c r="AF308" s="257"/>
      <c r="AG308" s="236"/>
      <c r="AH308" s="237"/>
    </row>
    <row r="309" spans="1:34" ht="15" customHeight="1">
      <c r="A309" s="38"/>
      <c r="B309" s="233"/>
      <c r="C309" s="36"/>
      <c r="D309" s="39"/>
      <c r="E309" s="39"/>
      <c r="F309" s="235"/>
      <c r="G309" s="36"/>
      <c r="H309" s="39"/>
      <c r="I309" s="37"/>
      <c r="J309" s="38"/>
      <c r="K309" s="39"/>
      <c r="L309" s="39"/>
      <c r="M309" s="39"/>
      <c r="N309" s="39"/>
      <c r="O309" s="37"/>
      <c r="P309" s="38"/>
      <c r="Q309" s="39"/>
      <c r="R309" s="37"/>
      <c r="S309" s="38"/>
      <c r="T309" s="39"/>
      <c r="U309" s="37"/>
      <c r="V309" s="259"/>
      <c r="W309" s="38"/>
      <c r="X309" s="39"/>
      <c r="Y309" s="39"/>
      <c r="Z309" s="39"/>
      <c r="AA309" s="39"/>
      <c r="AB309" s="37"/>
      <c r="AF309" s="257"/>
      <c r="AG309" s="236"/>
      <c r="AH309" s="237"/>
    </row>
    <row r="310" spans="1:34" ht="15" customHeight="1">
      <c r="A310" s="38"/>
      <c r="B310" s="233"/>
      <c r="C310" s="36"/>
      <c r="D310" s="39"/>
      <c r="E310" s="39"/>
      <c r="F310" s="235"/>
      <c r="G310" s="36"/>
      <c r="H310" s="39"/>
      <c r="I310" s="37"/>
      <c r="J310" s="38"/>
      <c r="K310" s="39"/>
      <c r="L310" s="39"/>
      <c r="M310" s="39"/>
      <c r="N310" s="39"/>
      <c r="O310" s="37"/>
      <c r="P310" s="38"/>
      <c r="Q310" s="39"/>
      <c r="R310" s="37"/>
      <c r="S310" s="38"/>
      <c r="T310" s="39"/>
      <c r="U310" s="37"/>
      <c r="V310" s="259"/>
      <c r="W310" s="38"/>
      <c r="X310" s="39"/>
      <c r="Y310" s="39"/>
      <c r="Z310" s="39"/>
      <c r="AA310" s="39"/>
      <c r="AB310" s="37"/>
      <c r="AF310" s="257"/>
      <c r="AG310" s="236"/>
      <c r="AH310" s="237"/>
    </row>
    <row r="311" spans="1:34" ht="15" customHeight="1">
      <c r="A311" s="38"/>
      <c r="B311" s="233"/>
      <c r="C311" s="36"/>
      <c r="D311" s="39"/>
      <c r="E311" s="39"/>
      <c r="F311" s="235"/>
      <c r="G311" s="36"/>
      <c r="H311" s="39"/>
      <c r="I311" s="37"/>
      <c r="J311" s="38"/>
      <c r="K311" s="39"/>
      <c r="L311" s="39"/>
      <c r="M311" s="39"/>
      <c r="N311" s="39"/>
      <c r="O311" s="37"/>
      <c r="P311" s="38"/>
      <c r="Q311" s="39"/>
      <c r="R311" s="37"/>
      <c r="S311" s="38"/>
      <c r="T311" s="39"/>
      <c r="U311" s="37"/>
      <c r="V311" s="259"/>
      <c r="W311" s="38"/>
      <c r="X311" s="39"/>
      <c r="Y311" s="39"/>
      <c r="Z311" s="39"/>
      <c r="AA311" s="39"/>
      <c r="AB311" s="37"/>
      <c r="AF311" s="257"/>
      <c r="AG311" s="236"/>
      <c r="AH311" s="237"/>
    </row>
    <row r="312" spans="1:34" ht="15" customHeight="1">
      <c r="A312" s="38"/>
      <c r="B312" s="233"/>
      <c r="C312" s="36"/>
      <c r="D312" s="39"/>
      <c r="E312" s="39"/>
      <c r="F312" s="235"/>
      <c r="G312" s="36"/>
      <c r="H312" s="39"/>
      <c r="I312" s="37"/>
      <c r="J312" s="38"/>
      <c r="K312" s="39"/>
      <c r="L312" s="39"/>
      <c r="M312" s="39"/>
      <c r="N312" s="39"/>
      <c r="O312" s="37"/>
      <c r="P312" s="38"/>
      <c r="Q312" s="39"/>
      <c r="R312" s="37"/>
      <c r="S312" s="38"/>
      <c r="T312" s="39"/>
      <c r="U312" s="37"/>
      <c r="V312" s="259"/>
      <c r="W312" s="38"/>
      <c r="X312" s="39"/>
      <c r="Y312" s="39"/>
      <c r="Z312" s="39"/>
      <c r="AA312" s="39"/>
      <c r="AB312" s="37"/>
      <c r="AF312" s="257"/>
      <c r="AG312" s="236"/>
      <c r="AH312" s="237"/>
    </row>
    <row r="313" spans="1:34" ht="15" customHeight="1">
      <c r="A313" s="38"/>
      <c r="B313" s="233"/>
      <c r="C313" s="36"/>
      <c r="D313" s="39"/>
      <c r="E313" s="39"/>
      <c r="F313" s="235"/>
      <c r="G313" s="36"/>
      <c r="H313" s="39"/>
      <c r="I313" s="37"/>
      <c r="J313" s="38"/>
      <c r="K313" s="39"/>
      <c r="L313" s="39"/>
      <c r="M313" s="39"/>
      <c r="N313" s="39"/>
      <c r="O313" s="37"/>
      <c r="P313" s="38"/>
      <c r="Q313" s="39"/>
      <c r="R313" s="37"/>
      <c r="S313" s="38"/>
      <c r="T313" s="39"/>
      <c r="U313" s="37"/>
      <c r="V313" s="259"/>
      <c r="W313" s="38"/>
      <c r="X313" s="39"/>
      <c r="Y313" s="39"/>
      <c r="Z313" s="39"/>
      <c r="AA313" s="39"/>
      <c r="AB313" s="37"/>
      <c r="AF313" s="257"/>
      <c r="AG313" s="236"/>
      <c r="AH313" s="237"/>
    </row>
    <row r="314" spans="1:34" ht="15" customHeight="1">
      <c r="A314" s="38"/>
      <c r="B314" s="233"/>
      <c r="C314" s="36"/>
      <c r="D314" s="39"/>
      <c r="E314" s="39"/>
      <c r="F314" s="235"/>
      <c r="G314" s="36"/>
      <c r="H314" s="39"/>
      <c r="I314" s="37"/>
      <c r="J314" s="38"/>
      <c r="K314" s="39"/>
      <c r="L314" s="39"/>
      <c r="M314" s="39"/>
      <c r="N314" s="39"/>
      <c r="O314" s="37"/>
      <c r="P314" s="38"/>
      <c r="Q314" s="39"/>
      <c r="R314" s="37"/>
      <c r="S314" s="38"/>
      <c r="T314" s="39"/>
      <c r="U314" s="37"/>
      <c r="V314" s="259"/>
      <c r="W314" s="38"/>
      <c r="X314" s="39"/>
      <c r="Y314" s="39"/>
      <c r="Z314" s="39"/>
      <c r="AA314" s="39"/>
      <c r="AB314" s="37"/>
      <c r="AF314" s="257"/>
      <c r="AG314" s="236"/>
      <c r="AH314" s="237"/>
    </row>
    <row r="315" spans="1:34" ht="15" customHeight="1">
      <c r="A315" s="38"/>
      <c r="B315" s="233"/>
      <c r="C315" s="36"/>
      <c r="D315" s="39"/>
      <c r="E315" s="39"/>
      <c r="F315" s="235"/>
      <c r="G315" s="36"/>
      <c r="H315" s="39"/>
      <c r="I315" s="37"/>
      <c r="J315" s="38"/>
      <c r="K315" s="39"/>
      <c r="L315" s="39"/>
      <c r="M315" s="39"/>
      <c r="N315" s="39"/>
      <c r="O315" s="37"/>
      <c r="P315" s="38"/>
      <c r="Q315" s="39"/>
      <c r="R315" s="37"/>
      <c r="S315" s="38"/>
      <c r="T315" s="39"/>
      <c r="U315" s="37"/>
      <c r="V315" s="259"/>
      <c r="W315" s="38"/>
      <c r="X315" s="39"/>
      <c r="Y315" s="39"/>
      <c r="Z315" s="39"/>
      <c r="AA315" s="39"/>
      <c r="AB315" s="37"/>
      <c r="AF315" s="257"/>
      <c r="AG315" s="236"/>
      <c r="AH315" s="237"/>
    </row>
    <row r="316" spans="1:34" ht="15" customHeight="1">
      <c r="A316" s="38"/>
      <c r="B316" s="233"/>
      <c r="C316" s="36"/>
      <c r="D316" s="39"/>
      <c r="E316" s="39"/>
      <c r="F316" s="235"/>
      <c r="G316" s="36"/>
      <c r="H316" s="39"/>
      <c r="I316" s="37"/>
      <c r="J316" s="38"/>
      <c r="K316" s="39"/>
      <c r="L316" s="39"/>
      <c r="M316" s="39"/>
      <c r="N316" s="39"/>
      <c r="O316" s="37"/>
      <c r="P316" s="38"/>
      <c r="Q316" s="39"/>
      <c r="R316" s="37"/>
      <c r="S316" s="38"/>
      <c r="T316" s="39"/>
      <c r="U316" s="37"/>
      <c r="V316" s="259"/>
      <c r="W316" s="38"/>
      <c r="X316" s="39"/>
      <c r="Y316" s="39"/>
      <c r="Z316" s="39"/>
      <c r="AA316" s="39"/>
      <c r="AB316" s="37"/>
      <c r="AF316" s="257"/>
      <c r="AG316" s="236"/>
      <c r="AH316" s="237"/>
    </row>
    <row r="317" spans="1:34" ht="15" customHeight="1">
      <c r="A317" s="38"/>
      <c r="B317" s="233"/>
      <c r="C317" s="36"/>
      <c r="D317" s="39"/>
      <c r="E317" s="39"/>
      <c r="F317" s="235"/>
      <c r="G317" s="36"/>
      <c r="H317" s="39"/>
      <c r="I317" s="37"/>
      <c r="J317" s="38"/>
      <c r="K317" s="39"/>
      <c r="L317" s="39"/>
      <c r="M317" s="39"/>
      <c r="N317" s="39"/>
      <c r="O317" s="37"/>
      <c r="P317" s="38"/>
      <c r="Q317" s="39"/>
      <c r="R317" s="37"/>
      <c r="S317" s="38"/>
      <c r="T317" s="39"/>
      <c r="U317" s="37"/>
      <c r="V317" s="259"/>
      <c r="W317" s="38"/>
      <c r="X317" s="39"/>
      <c r="Y317" s="39"/>
      <c r="Z317" s="39"/>
      <c r="AA317" s="39"/>
      <c r="AB317" s="37"/>
      <c r="AF317" s="257"/>
      <c r="AG317" s="236"/>
      <c r="AH317" s="237"/>
    </row>
    <row r="318" spans="1:34" ht="15" customHeight="1">
      <c r="A318" s="38"/>
      <c r="B318" s="233"/>
      <c r="C318" s="36"/>
      <c r="D318" s="39"/>
      <c r="E318" s="39"/>
      <c r="F318" s="235"/>
      <c r="G318" s="36"/>
      <c r="H318" s="39"/>
      <c r="I318" s="37"/>
      <c r="J318" s="38"/>
      <c r="K318" s="39"/>
      <c r="L318" s="39"/>
      <c r="M318" s="39"/>
      <c r="N318" s="39"/>
      <c r="O318" s="37"/>
      <c r="P318" s="38"/>
      <c r="Q318" s="39"/>
      <c r="R318" s="37"/>
      <c r="S318" s="38"/>
      <c r="T318" s="39"/>
      <c r="U318" s="37"/>
      <c r="V318" s="259"/>
      <c r="W318" s="38"/>
      <c r="X318" s="39"/>
      <c r="Y318" s="39"/>
      <c r="Z318" s="39"/>
      <c r="AA318" s="39"/>
      <c r="AB318" s="37"/>
      <c r="AF318" s="257"/>
      <c r="AG318" s="236"/>
      <c r="AH318" s="237"/>
    </row>
    <row r="319" spans="1:34" ht="15" customHeight="1">
      <c r="A319" s="38"/>
      <c r="B319" s="233"/>
      <c r="C319" s="36"/>
      <c r="D319" s="39"/>
      <c r="E319" s="39"/>
      <c r="F319" s="235"/>
      <c r="G319" s="36"/>
      <c r="H319" s="39"/>
      <c r="I319" s="37"/>
      <c r="J319" s="38"/>
      <c r="K319" s="39"/>
      <c r="L319" s="39"/>
      <c r="M319" s="39"/>
      <c r="N319" s="39"/>
      <c r="O319" s="37"/>
      <c r="P319" s="38"/>
      <c r="Q319" s="39"/>
      <c r="R319" s="37"/>
      <c r="S319" s="38"/>
      <c r="T319" s="39"/>
      <c r="U319" s="37"/>
      <c r="V319" s="259"/>
      <c r="W319" s="38"/>
      <c r="X319" s="39"/>
      <c r="Y319" s="39"/>
      <c r="Z319" s="39"/>
      <c r="AA319" s="39"/>
      <c r="AB319" s="37"/>
      <c r="AF319" s="257"/>
      <c r="AG319" s="236"/>
      <c r="AH319" s="237"/>
    </row>
    <row r="320" spans="1:34" ht="15" customHeight="1">
      <c r="A320" s="38"/>
      <c r="B320" s="233"/>
      <c r="C320" s="36"/>
      <c r="D320" s="39"/>
      <c r="E320" s="39"/>
      <c r="F320" s="235"/>
      <c r="G320" s="36"/>
      <c r="H320" s="39"/>
      <c r="I320" s="37"/>
      <c r="J320" s="38"/>
      <c r="K320" s="39"/>
      <c r="L320" s="39"/>
      <c r="M320" s="39"/>
      <c r="N320" s="39"/>
      <c r="O320" s="37"/>
      <c r="P320" s="38"/>
      <c r="Q320" s="39"/>
      <c r="R320" s="37"/>
      <c r="S320" s="38"/>
      <c r="T320" s="39"/>
      <c r="U320" s="37"/>
      <c r="V320" s="259"/>
      <c r="W320" s="38"/>
      <c r="X320" s="39"/>
      <c r="Y320" s="39"/>
      <c r="Z320" s="39"/>
      <c r="AA320" s="39"/>
      <c r="AB320" s="37"/>
      <c r="AF320" s="257"/>
      <c r="AG320" s="236"/>
      <c r="AH320" s="237"/>
    </row>
    <row r="321" spans="1:34" ht="15" customHeight="1">
      <c r="A321" s="38"/>
      <c r="B321" s="233"/>
      <c r="C321" s="36"/>
      <c r="D321" s="39"/>
      <c r="E321" s="39"/>
      <c r="F321" s="235"/>
      <c r="G321" s="36"/>
      <c r="H321" s="39"/>
      <c r="I321" s="37"/>
      <c r="J321" s="38"/>
      <c r="K321" s="39"/>
      <c r="L321" s="39"/>
      <c r="M321" s="39"/>
      <c r="N321" s="39"/>
      <c r="O321" s="37"/>
      <c r="P321" s="38"/>
      <c r="Q321" s="39"/>
      <c r="R321" s="37"/>
      <c r="S321" s="38"/>
      <c r="T321" s="39"/>
      <c r="U321" s="37"/>
      <c r="V321" s="259"/>
      <c r="W321" s="38"/>
      <c r="X321" s="39"/>
      <c r="Y321" s="39"/>
      <c r="Z321" s="39"/>
      <c r="AA321" s="39"/>
      <c r="AB321" s="37"/>
      <c r="AF321" s="257"/>
      <c r="AG321" s="236"/>
      <c r="AH321" s="237"/>
    </row>
    <row r="322" spans="1:34" ht="15" customHeight="1">
      <c r="A322" s="38"/>
      <c r="B322" s="233"/>
      <c r="C322" s="36"/>
      <c r="D322" s="39"/>
      <c r="E322" s="39"/>
      <c r="F322" s="235"/>
      <c r="G322" s="36"/>
      <c r="H322" s="39"/>
      <c r="I322" s="37"/>
      <c r="J322" s="38"/>
      <c r="K322" s="39"/>
      <c r="L322" s="39"/>
      <c r="M322" s="39"/>
      <c r="N322" s="39"/>
      <c r="O322" s="37"/>
      <c r="P322" s="38"/>
      <c r="Q322" s="39"/>
      <c r="R322" s="37"/>
      <c r="S322" s="38"/>
      <c r="T322" s="39"/>
      <c r="U322" s="37"/>
      <c r="V322" s="259"/>
      <c r="W322" s="38"/>
      <c r="X322" s="39"/>
      <c r="Y322" s="39"/>
      <c r="Z322" s="39"/>
      <c r="AA322" s="39"/>
      <c r="AB322" s="37"/>
      <c r="AF322" s="257"/>
      <c r="AG322" s="236"/>
      <c r="AH322" s="237"/>
    </row>
    <row r="323" spans="1:34" ht="15" customHeight="1">
      <c r="A323" s="38"/>
      <c r="B323" s="233"/>
      <c r="C323" s="36"/>
      <c r="D323" s="39"/>
      <c r="E323" s="39"/>
      <c r="F323" s="235"/>
      <c r="G323" s="36"/>
      <c r="H323" s="39"/>
      <c r="I323" s="37"/>
      <c r="J323" s="38"/>
      <c r="K323" s="39"/>
      <c r="L323" s="39"/>
      <c r="M323" s="39"/>
      <c r="N323" s="39"/>
      <c r="O323" s="37"/>
      <c r="P323" s="38"/>
      <c r="Q323" s="39"/>
      <c r="R323" s="37"/>
      <c r="S323" s="38"/>
      <c r="T323" s="39"/>
      <c r="U323" s="37"/>
      <c r="V323" s="259"/>
      <c r="W323" s="38"/>
      <c r="X323" s="39"/>
      <c r="Y323" s="39"/>
      <c r="Z323" s="39"/>
      <c r="AA323" s="39"/>
      <c r="AB323" s="37"/>
      <c r="AF323" s="257"/>
      <c r="AG323" s="236"/>
      <c r="AH323" s="237"/>
    </row>
    <row r="324" spans="1:34" ht="15" customHeight="1">
      <c r="A324" s="38"/>
      <c r="B324" s="233"/>
      <c r="C324" s="36"/>
      <c r="D324" s="39"/>
      <c r="E324" s="39"/>
      <c r="F324" s="235"/>
      <c r="G324" s="36"/>
      <c r="H324" s="39"/>
      <c r="I324" s="37"/>
      <c r="J324" s="38"/>
      <c r="K324" s="39"/>
      <c r="L324" s="39"/>
      <c r="M324" s="39"/>
      <c r="N324" s="39"/>
      <c r="O324" s="37"/>
      <c r="P324" s="38"/>
      <c r="Q324" s="39"/>
      <c r="R324" s="37"/>
      <c r="S324" s="38"/>
      <c r="T324" s="39"/>
      <c r="U324" s="37"/>
      <c r="V324" s="259"/>
      <c r="W324" s="38"/>
      <c r="X324" s="39"/>
      <c r="Y324" s="39"/>
      <c r="Z324" s="39"/>
      <c r="AA324" s="39"/>
      <c r="AB324" s="37"/>
      <c r="AF324" s="257"/>
      <c r="AG324" s="236"/>
      <c r="AH324" s="237"/>
    </row>
    <row r="325" spans="1:34" ht="15" customHeight="1">
      <c r="A325" s="38"/>
      <c r="B325" s="233"/>
      <c r="C325" s="36"/>
      <c r="D325" s="39"/>
      <c r="E325" s="39"/>
      <c r="F325" s="235"/>
      <c r="G325" s="36"/>
      <c r="H325" s="39"/>
      <c r="I325" s="37"/>
      <c r="J325" s="38"/>
      <c r="K325" s="39"/>
      <c r="L325" s="39"/>
      <c r="M325" s="39"/>
      <c r="N325" s="39"/>
      <c r="O325" s="37"/>
      <c r="P325" s="38"/>
      <c r="Q325" s="39"/>
      <c r="R325" s="37"/>
      <c r="S325" s="38"/>
      <c r="T325" s="39"/>
      <c r="U325" s="37"/>
      <c r="V325" s="259"/>
      <c r="W325" s="38"/>
      <c r="X325" s="39"/>
      <c r="Y325" s="39"/>
      <c r="Z325" s="39"/>
      <c r="AA325" s="39"/>
      <c r="AB325" s="37"/>
      <c r="AF325" s="257"/>
      <c r="AG325" s="236"/>
      <c r="AH325" s="237"/>
    </row>
    <row r="326" spans="1:34" ht="15" customHeight="1">
      <c r="A326" s="38"/>
      <c r="B326" s="233"/>
      <c r="C326" s="36"/>
      <c r="D326" s="39"/>
      <c r="E326" s="39"/>
      <c r="F326" s="235"/>
      <c r="G326" s="36"/>
      <c r="H326" s="39"/>
      <c r="I326" s="37"/>
      <c r="J326" s="38"/>
      <c r="K326" s="39"/>
      <c r="L326" s="39"/>
      <c r="M326" s="39"/>
      <c r="N326" s="39"/>
      <c r="O326" s="37"/>
      <c r="P326" s="38"/>
      <c r="Q326" s="39"/>
      <c r="R326" s="37"/>
      <c r="S326" s="38"/>
      <c r="T326" s="39"/>
      <c r="U326" s="37"/>
      <c r="V326" s="259"/>
      <c r="W326" s="38"/>
      <c r="X326" s="39"/>
      <c r="Y326" s="39"/>
      <c r="Z326" s="39"/>
      <c r="AA326" s="39"/>
      <c r="AB326" s="37"/>
      <c r="AF326" s="257"/>
      <c r="AG326" s="236"/>
      <c r="AH326" s="237"/>
    </row>
    <row r="327" spans="1:34" ht="15" customHeight="1">
      <c r="A327" s="38"/>
      <c r="B327" s="233"/>
      <c r="C327" s="36"/>
      <c r="D327" s="39"/>
      <c r="E327" s="39"/>
      <c r="F327" s="235"/>
      <c r="G327" s="36"/>
      <c r="H327" s="39"/>
      <c r="I327" s="37"/>
      <c r="J327" s="38"/>
      <c r="K327" s="39"/>
      <c r="L327" s="39"/>
      <c r="M327" s="39"/>
      <c r="N327" s="39"/>
      <c r="O327" s="37"/>
      <c r="P327" s="38"/>
      <c r="Q327" s="39"/>
      <c r="R327" s="37"/>
      <c r="S327" s="38"/>
      <c r="T327" s="39"/>
      <c r="U327" s="37"/>
      <c r="V327" s="259"/>
      <c r="W327" s="38"/>
      <c r="X327" s="39"/>
      <c r="Y327" s="39"/>
      <c r="Z327" s="39"/>
      <c r="AA327" s="39"/>
      <c r="AB327" s="37"/>
      <c r="AF327" s="257"/>
      <c r="AG327" s="236"/>
      <c r="AH327" s="237"/>
    </row>
    <row r="328" spans="1:34" ht="15" customHeight="1">
      <c r="A328" s="38"/>
      <c r="B328" s="233"/>
      <c r="C328" s="36"/>
      <c r="D328" s="39"/>
      <c r="E328" s="39"/>
      <c r="F328" s="235"/>
      <c r="G328" s="36"/>
      <c r="H328" s="39"/>
      <c r="I328" s="37"/>
      <c r="J328" s="38"/>
      <c r="K328" s="39"/>
      <c r="L328" s="39"/>
      <c r="M328" s="39"/>
      <c r="N328" s="39"/>
      <c r="O328" s="37"/>
      <c r="P328" s="38"/>
      <c r="Q328" s="39"/>
      <c r="R328" s="37"/>
      <c r="S328" s="38"/>
      <c r="T328" s="39"/>
      <c r="U328" s="37"/>
      <c r="V328" s="259"/>
      <c r="W328" s="38"/>
      <c r="X328" s="39"/>
      <c r="Y328" s="39"/>
      <c r="Z328" s="39"/>
      <c r="AA328" s="39"/>
      <c r="AB328" s="37"/>
      <c r="AF328" s="257"/>
      <c r="AG328" s="236"/>
      <c r="AH328" s="237"/>
    </row>
    <row r="329" spans="1:34" ht="15" customHeight="1">
      <c r="A329" s="38"/>
      <c r="B329" s="233"/>
      <c r="C329" s="36"/>
      <c r="D329" s="39"/>
      <c r="E329" s="39"/>
      <c r="F329" s="235"/>
      <c r="G329" s="36"/>
      <c r="H329" s="39"/>
      <c r="I329" s="37"/>
      <c r="J329" s="38"/>
      <c r="K329" s="39"/>
      <c r="L329" s="39"/>
      <c r="M329" s="39"/>
      <c r="N329" s="39"/>
      <c r="O329" s="37"/>
      <c r="P329" s="38"/>
      <c r="Q329" s="39"/>
      <c r="R329" s="37"/>
      <c r="S329" s="38"/>
      <c r="T329" s="39"/>
      <c r="U329" s="37"/>
      <c r="V329" s="259"/>
      <c r="W329" s="38"/>
      <c r="X329" s="39"/>
      <c r="Y329" s="39"/>
      <c r="Z329" s="39"/>
      <c r="AA329" s="39"/>
      <c r="AB329" s="37"/>
      <c r="AF329" s="257"/>
      <c r="AG329" s="236"/>
      <c r="AH329" s="237"/>
    </row>
    <row r="330" spans="1:34" ht="15" customHeight="1">
      <c r="A330" s="38"/>
      <c r="B330" s="233"/>
      <c r="C330" s="36"/>
      <c r="D330" s="39"/>
      <c r="E330" s="39"/>
      <c r="F330" s="235"/>
      <c r="G330" s="36"/>
      <c r="H330" s="39"/>
      <c r="I330" s="37"/>
      <c r="J330" s="38"/>
      <c r="K330" s="39"/>
      <c r="L330" s="39"/>
      <c r="M330" s="39"/>
      <c r="N330" s="39"/>
      <c r="O330" s="37"/>
      <c r="P330" s="38"/>
      <c r="Q330" s="39"/>
      <c r="R330" s="37"/>
      <c r="S330" s="38"/>
      <c r="T330" s="39"/>
      <c r="U330" s="37"/>
      <c r="V330" s="259"/>
      <c r="W330" s="38"/>
      <c r="X330" s="39"/>
      <c r="Y330" s="39"/>
      <c r="Z330" s="39"/>
      <c r="AA330" s="39"/>
      <c r="AB330" s="37"/>
      <c r="AF330" s="257"/>
      <c r="AG330" s="236"/>
      <c r="AH330" s="237"/>
    </row>
    <row r="331" spans="1:34" ht="15" customHeight="1">
      <c r="A331" s="38"/>
      <c r="B331" s="233"/>
      <c r="C331" s="36"/>
      <c r="D331" s="39"/>
      <c r="E331" s="39"/>
      <c r="F331" s="235"/>
      <c r="G331" s="36"/>
      <c r="H331" s="39"/>
      <c r="I331" s="37"/>
      <c r="J331" s="38"/>
      <c r="K331" s="39"/>
      <c r="L331" s="39"/>
      <c r="M331" s="39"/>
      <c r="N331" s="39"/>
      <c r="O331" s="37"/>
      <c r="P331" s="38"/>
      <c r="Q331" s="39"/>
      <c r="R331" s="37"/>
      <c r="S331" s="38"/>
      <c r="T331" s="39"/>
      <c r="U331" s="37"/>
      <c r="V331" s="259"/>
      <c r="W331" s="38"/>
      <c r="X331" s="39"/>
      <c r="Y331" s="39"/>
      <c r="Z331" s="39"/>
      <c r="AA331" s="39"/>
      <c r="AB331" s="37"/>
      <c r="AF331" s="257"/>
      <c r="AG331" s="236"/>
      <c r="AH331" s="237"/>
    </row>
    <row r="332" spans="1:34" ht="15" customHeight="1">
      <c r="A332" s="38"/>
      <c r="B332" s="233"/>
      <c r="C332" s="36"/>
      <c r="D332" s="39"/>
      <c r="E332" s="39"/>
      <c r="F332" s="235"/>
      <c r="G332" s="36"/>
      <c r="H332" s="39"/>
      <c r="I332" s="37"/>
      <c r="J332" s="38"/>
      <c r="K332" s="39"/>
      <c r="L332" s="39"/>
      <c r="M332" s="39"/>
      <c r="N332" s="39"/>
      <c r="O332" s="37"/>
      <c r="P332" s="38"/>
      <c r="Q332" s="39"/>
      <c r="R332" s="37"/>
      <c r="S332" s="38"/>
      <c r="T332" s="39"/>
      <c r="U332" s="37"/>
      <c r="V332" s="259"/>
      <c r="W332" s="38"/>
      <c r="X332" s="39"/>
      <c r="Y332" s="39"/>
      <c r="Z332" s="39"/>
      <c r="AA332" s="39"/>
      <c r="AB332" s="37"/>
      <c r="AF332" s="257"/>
      <c r="AG332" s="236"/>
      <c r="AH332" s="237"/>
    </row>
    <row r="333" spans="1:34" ht="15" customHeight="1">
      <c r="A333" s="38"/>
      <c r="B333" s="233"/>
      <c r="C333" s="36"/>
      <c r="D333" s="39"/>
      <c r="E333" s="39"/>
      <c r="F333" s="235"/>
      <c r="G333" s="36"/>
      <c r="H333" s="39"/>
      <c r="I333" s="37"/>
      <c r="J333" s="38"/>
      <c r="K333" s="39"/>
      <c r="L333" s="39"/>
      <c r="M333" s="39"/>
      <c r="N333" s="39"/>
      <c r="O333" s="37"/>
      <c r="P333" s="38"/>
      <c r="Q333" s="39"/>
      <c r="R333" s="37"/>
      <c r="S333" s="38"/>
      <c r="T333" s="39"/>
      <c r="U333" s="37"/>
      <c r="V333" s="259"/>
      <c r="W333" s="38"/>
      <c r="X333" s="39"/>
      <c r="Y333" s="39"/>
      <c r="Z333" s="39"/>
      <c r="AA333" s="39"/>
      <c r="AB333" s="37"/>
      <c r="AF333" s="257"/>
      <c r="AG333" s="236"/>
      <c r="AH333" s="237"/>
    </row>
    <row r="334" spans="1:34" ht="15" customHeight="1">
      <c r="A334" s="38"/>
      <c r="B334" s="233"/>
      <c r="C334" s="36"/>
      <c r="D334" s="39"/>
      <c r="E334" s="39"/>
      <c r="F334" s="235"/>
      <c r="G334" s="36"/>
      <c r="H334" s="39"/>
      <c r="I334" s="37"/>
      <c r="J334" s="38"/>
      <c r="K334" s="39"/>
      <c r="L334" s="39"/>
      <c r="M334" s="39"/>
      <c r="N334" s="39"/>
      <c r="O334" s="37"/>
      <c r="P334" s="38"/>
      <c r="Q334" s="39"/>
      <c r="R334" s="37"/>
      <c r="S334" s="38"/>
      <c r="T334" s="39"/>
      <c r="U334" s="37"/>
      <c r="V334" s="259"/>
      <c r="W334" s="38"/>
      <c r="X334" s="39"/>
      <c r="Y334" s="39"/>
      <c r="Z334" s="39"/>
      <c r="AA334" s="39"/>
      <c r="AB334" s="37"/>
      <c r="AF334" s="257"/>
      <c r="AG334" s="236"/>
      <c r="AH334" s="237"/>
    </row>
    <row r="335" spans="1:34" ht="15" customHeight="1">
      <c r="A335" s="38"/>
      <c r="B335" s="233"/>
      <c r="C335" s="36"/>
      <c r="D335" s="39"/>
      <c r="E335" s="39"/>
      <c r="F335" s="235"/>
      <c r="G335" s="36"/>
      <c r="H335" s="39"/>
      <c r="I335" s="37"/>
      <c r="J335" s="38"/>
      <c r="K335" s="39"/>
      <c r="L335" s="39"/>
      <c r="M335" s="39"/>
      <c r="N335" s="39"/>
      <c r="O335" s="37"/>
      <c r="P335" s="38"/>
      <c r="Q335" s="39"/>
      <c r="R335" s="37"/>
      <c r="S335" s="38"/>
      <c r="T335" s="39"/>
      <c r="U335" s="37"/>
      <c r="V335" s="259"/>
      <c r="W335" s="38"/>
      <c r="X335" s="39"/>
      <c r="Y335" s="39"/>
      <c r="Z335" s="39"/>
      <c r="AA335" s="39"/>
      <c r="AB335" s="37"/>
      <c r="AF335" s="257"/>
      <c r="AG335" s="236"/>
      <c r="AH335" s="237"/>
    </row>
    <row r="336" spans="1:34" ht="15" customHeight="1">
      <c r="A336" s="38"/>
      <c r="B336" s="233"/>
      <c r="C336" s="36"/>
      <c r="D336" s="39"/>
      <c r="E336" s="39"/>
      <c r="F336" s="235"/>
      <c r="G336" s="36"/>
      <c r="H336" s="39"/>
      <c r="I336" s="37"/>
      <c r="J336" s="38"/>
      <c r="K336" s="39"/>
      <c r="L336" s="39"/>
      <c r="M336" s="39"/>
      <c r="N336" s="39"/>
      <c r="O336" s="37"/>
      <c r="P336" s="38"/>
      <c r="Q336" s="39"/>
      <c r="R336" s="37"/>
      <c r="S336" s="38"/>
      <c r="T336" s="39"/>
      <c r="U336" s="37"/>
      <c r="V336" s="259"/>
      <c r="W336" s="38"/>
      <c r="X336" s="39"/>
      <c r="Y336" s="39"/>
      <c r="Z336" s="39"/>
      <c r="AA336" s="39"/>
      <c r="AB336" s="37"/>
      <c r="AF336" s="257"/>
      <c r="AG336" s="236"/>
      <c r="AH336" s="237"/>
    </row>
    <row r="337" spans="1:34" ht="15" customHeight="1">
      <c r="A337" s="38"/>
      <c r="B337" s="233"/>
      <c r="C337" s="36"/>
      <c r="D337" s="39"/>
      <c r="E337" s="39"/>
      <c r="F337" s="235"/>
      <c r="G337" s="36"/>
      <c r="H337" s="39"/>
      <c r="I337" s="37"/>
      <c r="J337" s="38"/>
      <c r="K337" s="39"/>
      <c r="L337" s="39"/>
      <c r="M337" s="39"/>
      <c r="N337" s="39"/>
      <c r="O337" s="37"/>
      <c r="P337" s="38"/>
      <c r="Q337" s="39"/>
      <c r="R337" s="37"/>
      <c r="S337" s="38"/>
      <c r="T337" s="39"/>
      <c r="U337" s="37"/>
      <c r="V337" s="259"/>
      <c r="W337" s="38"/>
      <c r="X337" s="39"/>
      <c r="Y337" s="39"/>
      <c r="Z337" s="39"/>
      <c r="AA337" s="39"/>
      <c r="AB337" s="37"/>
      <c r="AF337" s="257"/>
      <c r="AG337" s="236"/>
      <c r="AH337" s="237"/>
    </row>
    <row r="338" spans="1:34" ht="15" customHeight="1">
      <c r="A338" s="38"/>
      <c r="B338" s="233"/>
      <c r="C338" s="36"/>
      <c r="D338" s="39"/>
      <c r="E338" s="39"/>
      <c r="F338" s="235"/>
      <c r="G338" s="36"/>
      <c r="H338" s="39"/>
      <c r="I338" s="37"/>
      <c r="J338" s="38"/>
      <c r="K338" s="39"/>
      <c r="L338" s="39"/>
      <c r="M338" s="39"/>
      <c r="N338" s="39"/>
      <c r="O338" s="37"/>
      <c r="P338" s="38"/>
      <c r="Q338" s="39"/>
      <c r="R338" s="37"/>
      <c r="S338" s="38"/>
      <c r="T338" s="39"/>
      <c r="U338" s="37"/>
      <c r="V338" s="259"/>
      <c r="W338" s="38"/>
      <c r="X338" s="39"/>
      <c r="Y338" s="39"/>
      <c r="Z338" s="39"/>
      <c r="AA338" s="39"/>
      <c r="AB338" s="37"/>
      <c r="AF338" s="257"/>
      <c r="AG338" s="236"/>
      <c r="AH338" s="237"/>
    </row>
    <row r="339" spans="1:34" ht="15" customHeight="1">
      <c r="A339" s="38"/>
      <c r="B339" s="233"/>
      <c r="C339" s="36"/>
      <c r="D339" s="39"/>
      <c r="E339" s="39"/>
      <c r="F339" s="235"/>
      <c r="G339" s="36"/>
      <c r="H339" s="39"/>
      <c r="I339" s="37"/>
      <c r="J339" s="38"/>
      <c r="K339" s="39"/>
      <c r="L339" s="39"/>
      <c r="M339" s="39"/>
      <c r="N339" s="39"/>
      <c r="O339" s="37"/>
      <c r="P339" s="38"/>
      <c r="Q339" s="39"/>
      <c r="R339" s="37"/>
      <c r="S339" s="38"/>
      <c r="T339" s="39"/>
      <c r="U339" s="37"/>
      <c r="V339" s="259"/>
      <c r="W339" s="38"/>
      <c r="X339" s="39"/>
      <c r="Y339" s="39"/>
      <c r="Z339" s="39"/>
      <c r="AA339" s="39"/>
      <c r="AB339" s="37"/>
      <c r="AF339" s="257"/>
      <c r="AG339" s="236"/>
      <c r="AH339" s="237"/>
    </row>
    <row r="340" spans="1:34" ht="15" customHeight="1">
      <c r="A340" s="38"/>
      <c r="B340" s="233"/>
      <c r="C340" s="36"/>
      <c r="D340" s="39"/>
      <c r="E340" s="39"/>
      <c r="F340" s="235"/>
      <c r="G340" s="36"/>
      <c r="H340" s="39"/>
      <c r="I340" s="37"/>
      <c r="J340" s="38"/>
      <c r="K340" s="39"/>
      <c r="L340" s="39"/>
      <c r="M340" s="39"/>
      <c r="N340" s="39"/>
      <c r="O340" s="37"/>
      <c r="P340" s="38"/>
      <c r="Q340" s="39"/>
      <c r="R340" s="37"/>
      <c r="S340" s="38"/>
      <c r="T340" s="39"/>
      <c r="U340" s="37"/>
      <c r="V340" s="259"/>
      <c r="W340" s="38"/>
      <c r="X340" s="39"/>
      <c r="Y340" s="39"/>
      <c r="Z340" s="39"/>
      <c r="AA340" s="39"/>
      <c r="AB340" s="37"/>
      <c r="AF340" s="257"/>
      <c r="AG340" s="236"/>
      <c r="AH340" s="237"/>
    </row>
    <row r="341" spans="1:34" ht="15" customHeight="1">
      <c r="A341" s="38"/>
      <c r="B341" s="233"/>
      <c r="C341" s="36"/>
      <c r="D341" s="39"/>
      <c r="E341" s="39"/>
      <c r="F341" s="235"/>
      <c r="G341" s="36"/>
      <c r="H341" s="39"/>
      <c r="I341" s="37"/>
      <c r="J341" s="38"/>
      <c r="K341" s="39"/>
      <c r="L341" s="39"/>
      <c r="M341" s="39"/>
      <c r="N341" s="39"/>
      <c r="O341" s="37"/>
      <c r="P341" s="38"/>
      <c r="Q341" s="39"/>
      <c r="R341" s="37"/>
      <c r="S341" s="38"/>
      <c r="T341" s="39"/>
      <c r="U341" s="37"/>
      <c r="V341" s="259"/>
      <c r="W341" s="38"/>
      <c r="X341" s="39"/>
      <c r="Y341" s="39"/>
      <c r="Z341" s="39"/>
      <c r="AA341" s="39"/>
      <c r="AB341" s="37"/>
      <c r="AF341" s="257"/>
      <c r="AG341" s="236"/>
      <c r="AH341" s="237"/>
    </row>
    <row r="342" spans="1:34" ht="15" customHeight="1">
      <c r="A342" s="38"/>
      <c r="B342" s="233"/>
      <c r="C342" s="36"/>
      <c r="D342" s="39"/>
      <c r="E342" s="39"/>
      <c r="F342" s="235"/>
      <c r="G342" s="36"/>
      <c r="H342" s="39"/>
      <c r="I342" s="37"/>
      <c r="J342" s="38"/>
      <c r="K342" s="39"/>
      <c r="L342" s="39"/>
      <c r="M342" s="39"/>
      <c r="N342" s="39"/>
      <c r="O342" s="37"/>
      <c r="P342" s="38"/>
      <c r="Q342" s="39"/>
      <c r="R342" s="37"/>
      <c r="S342" s="38"/>
      <c r="T342" s="39"/>
      <c r="U342" s="37"/>
      <c r="V342" s="259"/>
      <c r="W342" s="38"/>
      <c r="X342" s="39"/>
      <c r="Y342" s="39"/>
      <c r="Z342" s="39"/>
      <c r="AA342" s="39"/>
      <c r="AB342" s="37"/>
      <c r="AF342" s="257"/>
      <c r="AG342" s="236"/>
      <c r="AH342" s="237"/>
    </row>
    <row r="343" spans="1:34" ht="15" customHeight="1">
      <c r="A343" s="38"/>
      <c r="B343" s="233"/>
      <c r="C343" s="36"/>
      <c r="D343" s="39"/>
      <c r="E343" s="39"/>
      <c r="F343" s="235"/>
      <c r="G343" s="36"/>
      <c r="H343" s="39"/>
      <c r="I343" s="37"/>
      <c r="J343" s="38"/>
      <c r="K343" s="39"/>
      <c r="L343" s="39"/>
      <c r="M343" s="39"/>
      <c r="N343" s="39"/>
      <c r="O343" s="37"/>
      <c r="P343" s="38"/>
      <c r="Q343" s="39"/>
      <c r="R343" s="37"/>
      <c r="S343" s="38"/>
      <c r="T343" s="39"/>
      <c r="U343" s="37"/>
      <c r="V343" s="259"/>
      <c r="W343" s="38"/>
      <c r="X343" s="39"/>
      <c r="Y343" s="39"/>
      <c r="Z343" s="39"/>
      <c r="AA343" s="39"/>
      <c r="AB343" s="37"/>
      <c r="AF343" s="257"/>
      <c r="AG343" s="236"/>
      <c r="AH343" s="237"/>
    </row>
    <row r="344" spans="1:34" ht="15" customHeight="1">
      <c r="A344" s="38"/>
      <c r="B344" s="233"/>
      <c r="C344" s="36"/>
      <c r="D344" s="39"/>
      <c r="E344" s="39"/>
      <c r="F344" s="235"/>
      <c r="G344" s="36"/>
      <c r="H344" s="39"/>
      <c r="I344" s="37"/>
      <c r="J344" s="38"/>
      <c r="K344" s="39"/>
      <c r="L344" s="39"/>
      <c r="M344" s="39"/>
      <c r="N344" s="39"/>
      <c r="O344" s="37"/>
      <c r="P344" s="38"/>
      <c r="Q344" s="39"/>
      <c r="R344" s="37"/>
      <c r="S344" s="38"/>
      <c r="T344" s="39"/>
      <c r="U344" s="37"/>
      <c r="V344" s="259"/>
      <c r="W344" s="38"/>
      <c r="X344" s="39"/>
      <c r="Y344" s="39"/>
      <c r="Z344" s="39"/>
      <c r="AA344" s="39"/>
      <c r="AB344" s="37"/>
      <c r="AF344" s="257"/>
      <c r="AG344" s="236"/>
      <c r="AH344" s="237"/>
    </row>
    <row r="345" spans="1:34" ht="15" customHeight="1">
      <c r="A345" s="38"/>
      <c r="B345" s="233"/>
      <c r="C345" s="36"/>
      <c r="D345" s="39"/>
      <c r="E345" s="39"/>
      <c r="F345" s="235"/>
      <c r="G345" s="36"/>
      <c r="H345" s="39"/>
      <c r="I345" s="37"/>
      <c r="J345" s="38"/>
      <c r="K345" s="39"/>
      <c r="L345" s="39"/>
      <c r="M345" s="39"/>
      <c r="N345" s="39"/>
      <c r="O345" s="37"/>
      <c r="P345" s="38"/>
      <c r="Q345" s="39"/>
      <c r="R345" s="37"/>
      <c r="S345" s="38"/>
      <c r="T345" s="39"/>
      <c r="U345" s="37"/>
      <c r="V345" s="259"/>
      <c r="W345" s="38"/>
      <c r="X345" s="39"/>
      <c r="Y345" s="39"/>
      <c r="Z345" s="39"/>
      <c r="AA345" s="39"/>
      <c r="AB345" s="37"/>
      <c r="AF345" s="257"/>
      <c r="AG345" s="236"/>
      <c r="AH345" s="237"/>
    </row>
    <row r="346" spans="1:34" ht="15" customHeight="1">
      <c r="A346" s="38"/>
      <c r="B346" s="233"/>
      <c r="C346" s="36"/>
      <c r="D346" s="39"/>
      <c r="E346" s="39"/>
      <c r="F346" s="235"/>
      <c r="G346" s="36"/>
      <c r="H346" s="39"/>
      <c r="I346" s="37"/>
      <c r="J346" s="38"/>
      <c r="K346" s="39"/>
      <c r="L346" s="39"/>
      <c r="M346" s="39"/>
      <c r="N346" s="39"/>
      <c r="O346" s="37"/>
      <c r="P346" s="38"/>
      <c r="Q346" s="39"/>
      <c r="R346" s="37"/>
      <c r="S346" s="38"/>
      <c r="T346" s="39"/>
      <c r="U346" s="37"/>
      <c r="V346" s="259"/>
      <c r="W346" s="38"/>
      <c r="X346" s="39"/>
      <c r="Y346" s="39"/>
      <c r="Z346" s="39"/>
      <c r="AA346" s="39"/>
      <c r="AB346" s="37"/>
      <c r="AF346" s="257"/>
      <c r="AG346" s="236"/>
      <c r="AH346" s="237"/>
    </row>
    <row r="347" spans="1:34" ht="15" customHeight="1">
      <c r="A347" s="38"/>
      <c r="B347" s="233"/>
      <c r="C347" s="36"/>
      <c r="D347" s="39"/>
      <c r="E347" s="39"/>
      <c r="F347" s="235"/>
      <c r="G347" s="36"/>
      <c r="H347" s="39"/>
      <c r="I347" s="37"/>
      <c r="J347" s="38"/>
      <c r="K347" s="39"/>
      <c r="L347" s="39"/>
      <c r="M347" s="39"/>
      <c r="N347" s="39"/>
      <c r="O347" s="37"/>
      <c r="P347" s="38"/>
      <c r="Q347" s="39"/>
      <c r="R347" s="37"/>
      <c r="S347" s="38"/>
      <c r="T347" s="39"/>
      <c r="U347" s="37"/>
      <c r="V347" s="259"/>
      <c r="W347" s="38"/>
      <c r="X347" s="39"/>
      <c r="Y347" s="39"/>
      <c r="Z347" s="39"/>
      <c r="AA347" s="39"/>
      <c r="AB347" s="37"/>
      <c r="AF347" s="257"/>
      <c r="AG347" s="236"/>
      <c r="AH347" s="237"/>
    </row>
    <row r="348" spans="1:34" ht="15" customHeight="1">
      <c r="A348" s="38"/>
      <c r="B348" s="233"/>
      <c r="C348" s="36"/>
      <c r="D348" s="39"/>
      <c r="E348" s="39"/>
      <c r="F348" s="235"/>
      <c r="G348" s="36"/>
      <c r="H348" s="39"/>
      <c r="I348" s="37"/>
      <c r="J348" s="38"/>
      <c r="K348" s="39"/>
      <c r="L348" s="39"/>
      <c r="M348" s="39"/>
      <c r="N348" s="39"/>
      <c r="O348" s="37"/>
      <c r="P348" s="38"/>
      <c r="Q348" s="39"/>
      <c r="R348" s="37"/>
      <c r="S348" s="38"/>
      <c r="T348" s="39"/>
      <c r="U348" s="37"/>
      <c r="V348" s="259"/>
      <c r="W348" s="38"/>
      <c r="X348" s="39"/>
      <c r="Y348" s="39"/>
      <c r="Z348" s="39"/>
      <c r="AA348" s="39"/>
      <c r="AB348" s="37"/>
      <c r="AF348" s="257"/>
      <c r="AG348" s="236"/>
      <c r="AH348" s="237"/>
    </row>
    <row r="349" spans="1:34" ht="15" customHeight="1">
      <c r="A349" s="38"/>
      <c r="B349" s="233"/>
      <c r="C349" s="36"/>
      <c r="D349" s="39"/>
      <c r="E349" s="39"/>
      <c r="F349" s="235"/>
      <c r="G349" s="36"/>
      <c r="H349" s="39"/>
      <c r="I349" s="37"/>
      <c r="J349" s="38"/>
      <c r="K349" s="39"/>
      <c r="L349" s="39"/>
      <c r="M349" s="39"/>
      <c r="N349" s="39"/>
      <c r="O349" s="37"/>
      <c r="P349" s="38"/>
      <c r="Q349" s="39"/>
      <c r="R349" s="37"/>
      <c r="S349" s="38"/>
      <c r="T349" s="39"/>
      <c r="U349" s="37"/>
      <c r="V349" s="259"/>
      <c r="W349" s="38"/>
      <c r="X349" s="39"/>
      <c r="Y349" s="39"/>
      <c r="Z349" s="39"/>
      <c r="AA349" s="39"/>
      <c r="AB349" s="37"/>
      <c r="AF349" s="257"/>
      <c r="AG349" s="236"/>
      <c r="AH349" s="237"/>
    </row>
    <row r="350" spans="1:34" ht="15" customHeight="1">
      <c r="A350" s="38"/>
      <c r="B350" s="233"/>
      <c r="C350" s="36"/>
      <c r="D350" s="39"/>
      <c r="E350" s="39"/>
      <c r="F350" s="235"/>
      <c r="G350" s="36"/>
      <c r="H350" s="39"/>
      <c r="I350" s="37"/>
      <c r="J350" s="38"/>
      <c r="K350" s="39"/>
      <c r="L350" s="39"/>
      <c r="M350" s="39"/>
      <c r="N350" s="39"/>
      <c r="O350" s="37"/>
      <c r="P350" s="38"/>
      <c r="Q350" s="39"/>
      <c r="R350" s="37"/>
      <c r="S350" s="38"/>
      <c r="T350" s="39"/>
      <c r="U350" s="37"/>
      <c r="V350" s="259"/>
      <c r="W350" s="38"/>
      <c r="X350" s="39"/>
      <c r="Y350" s="39"/>
      <c r="Z350" s="39"/>
      <c r="AA350" s="39"/>
      <c r="AB350" s="37"/>
      <c r="AF350" s="257"/>
      <c r="AG350" s="236"/>
      <c r="AH350" s="237"/>
    </row>
    <row r="351" spans="1:34" ht="15" customHeight="1">
      <c r="A351" s="38"/>
      <c r="B351" s="233"/>
      <c r="C351" s="36"/>
      <c r="D351" s="39"/>
      <c r="E351" s="39"/>
      <c r="F351" s="235"/>
      <c r="G351" s="36"/>
      <c r="H351" s="39"/>
      <c r="I351" s="37"/>
      <c r="J351" s="38"/>
      <c r="K351" s="39"/>
      <c r="L351" s="39"/>
      <c r="M351" s="39"/>
      <c r="N351" s="39"/>
      <c r="O351" s="37"/>
      <c r="P351" s="38"/>
      <c r="Q351" s="39"/>
      <c r="R351" s="37"/>
      <c r="S351" s="38"/>
      <c r="T351" s="39"/>
      <c r="U351" s="37"/>
      <c r="V351" s="259"/>
      <c r="W351" s="38"/>
      <c r="X351" s="39"/>
      <c r="Y351" s="39"/>
      <c r="Z351" s="39"/>
      <c r="AA351" s="39"/>
      <c r="AB351" s="37"/>
      <c r="AF351" s="257"/>
      <c r="AG351" s="236"/>
      <c r="AH351" s="237"/>
    </row>
    <row r="352" spans="1:34" ht="15" customHeight="1">
      <c r="A352" s="38"/>
      <c r="B352" s="233"/>
      <c r="C352" s="36"/>
      <c r="D352" s="39"/>
      <c r="E352" s="39"/>
      <c r="F352" s="235"/>
      <c r="G352" s="36"/>
      <c r="H352" s="39"/>
      <c r="I352" s="37"/>
      <c r="J352" s="38"/>
      <c r="K352" s="39"/>
      <c r="L352" s="39"/>
      <c r="M352" s="39"/>
      <c r="N352" s="39"/>
      <c r="O352" s="37"/>
      <c r="P352" s="38"/>
      <c r="Q352" s="39"/>
      <c r="R352" s="37"/>
      <c r="S352" s="38"/>
      <c r="T352" s="39"/>
      <c r="U352" s="37"/>
      <c r="V352" s="259"/>
      <c r="W352" s="38"/>
      <c r="X352" s="39"/>
      <c r="Y352" s="39"/>
      <c r="Z352" s="39"/>
      <c r="AA352" s="39"/>
      <c r="AB352" s="37"/>
      <c r="AF352" s="257"/>
      <c r="AG352" s="236"/>
      <c r="AH352" s="237"/>
    </row>
    <row r="353" spans="1:34" ht="15" customHeight="1">
      <c r="A353" s="38"/>
      <c r="B353" s="233"/>
      <c r="C353" s="36"/>
      <c r="D353" s="39"/>
      <c r="E353" s="39"/>
      <c r="F353" s="235"/>
      <c r="G353" s="36"/>
      <c r="H353" s="39"/>
      <c r="I353" s="37"/>
      <c r="J353" s="38"/>
      <c r="K353" s="39"/>
      <c r="L353" s="39"/>
      <c r="M353" s="39"/>
      <c r="N353" s="39"/>
      <c r="O353" s="37"/>
      <c r="P353" s="38"/>
      <c r="Q353" s="39"/>
      <c r="R353" s="37"/>
      <c r="S353" s="38"/>
      <c r="T353" s="39"/>
      <c r="U353" s="37"/>
      <c r="V353" s="259"/>
      <c r="W353" s="38"/>
      <c r="X353" s="39"/>
      <c r="Y353" s="39"/>
      <c r="Z353" s="39"/>
      <c r="AA353" s="39"/>
      <c r="AB353" s="37"/>
      <c r="AF353" s="257"/>
      <c r="AG353" s="236"/>
      <c r="AH353" s="237"/>
    </row>
    <row r="354" spans="1:34" ht="15" customHeight="1">
      <c r="A354" s="38"/>
      <c r="B354" s="233"/>
      <c r="C354" s="36"/>
      <c r="D354" s="39"/>
      <c r="E354" s="39"/>
      <c r="F354" s="235"/>
      <c r="G354" s="36"/>
      <c r="H354" s="39"/>
      <c r="I354" s="37"/>
      <c r="J354" s="38"/>
      <c r="K354" s="39"/>
      <c r="L354" s="39"/>
      <c r="M354" s="39"/>
      <c r="N354" s="39"/>
      <c r="O354" s="37"/>
      <c r="P354" s="38"/>
      <c r="Q354" s="39"/>
      <c r="R354" s="37"/>
      <c r="S354" s="38"/>
      <c r="T354" s="39"/>
      <c r="U354" s="37"/>
      <c r="V354" s="259"/>
      <c r="W354" s="38"/>
      <c r="X354" s="39"/>
      <c r="Y354" s="39"/>
      <c r="Z354" s="39"/>
      <c r="AA354" s="39"/>
      <c r="AB354" s="37"/>
      <c r="AF354" s="257"/>
      <c r="AG354" s="236"/>
      <c r="AH354" s="237"/>
    </row>
    <row r="355" spans="1:34" ht="15" customHeight="1">
      <c r="A355" s="38"/>
      <c r="B355" s="233"/>
      <c r="C355" s="36"/>
      <c r="D355" s="39"/>
      <c r="E355" s="39"/>
      <c r="F355" s="235"/>
      <c r="G355" s="36"/>
      <c r="H355" s="39"/>
      <c r="I355" s="37"/>
      <c r="J355" s="38"/>
      <c r="K355" s="39"/>
      <c r="L355" s="39"/>
      <c r="M355" s="39"/>
      <c r="N355" s="39"/>
      <c r="O355" s="37"/>
      <c r="P355" s="38"/>
      <c r="Q355" s="39"/>
      <c r="R355" s="37"/>
      <c r="S355" s="38"/>
      <c r="T355" s="39"/>
      <c r="U355" s="37"/>
      <c r="V355" s="259"/>
      <c r="W355" s="38"/>
      <c r="X355" s="39"/>
      <c r="Y355" s="39"/>
      <c r="Z355" s="39"/>
      <c r="AA355" s="39"/>
      <c r="AB355" s="37"/>
      <c r="AF355" s="257"/>
      <c r="AG355" s="236"/>
      <c r="AH355" s="237"/>
    </row>
    <row r="356" spans="1:34" ht="15" customHeight="1">
      <c r="A356" s="38"/>
      <c r="B356" s="233"/>
      <c r="C356" s="36"/>
      <c r="D356" s="39"/>
      <c r="E356" s="39"/>
      <c r="F356" s="235"/>
      <c r="G356" s="36"/>
      <c r="H356" s="39"/>
      <c r="I356" s="37"/>
      <c r="J356" s="38"/>
      <c r="K356" s="39"/>
      <c r="L356" s="39"/>
      <c r="M356" s="39"/>
      <c r="N356" s="39"/>
      <c r="O356" s="37"/>
      <c r="P356" s="38"/>
      <c r="Q356" s="39"/>
      <c r="R356" s="37"/>
      <c r="S356" s="38"/>
      <c r="T356" s="39"/>
      <c r="U356" s="37"/>
      <c r="V356" s="259"/>
      <c r="W356" s="38"/>
      <c r="X356" s="39"/>
      <c r="Y356" s="39"/>
      <c r="Z356" s="39"/>
      <c r="AA356" s="39"/>
      <c r="AB356" s="37"/>
      <c r="AF356" s="257"/>
      <c r="AG356" s="236"/>
      <c r="AH356" s="237"/>
    </row>
    <row r="357" spans="1:34" ht="15" customHeight="1">
      <c r="A357" s="38"/>
      <c r="B357" s="233"/>
      <c r="C357" s="36"/>
      <c r="D357" s="39"/>
      <c r="E357" s="39"/>
      <c r="F357" s="235"/>
      <c r="G357" s="36"/>
      <c r="H357" s="39"/>
      <c r="I357" s="37"/>
      <c r="J357" s="38"/>
      <c r="K357" s="39"/>
      <c r="L357" s="39"/>
      <c r="M357" s="39"/>
      <c r="N357" s="39"/>
      <c r="O357" s="37"/>
      <c r="P357" s="38"/>
      <c r="Q357" s="39"/>
      <c r="R357" s="37"/>
      <c r="S357" s="38"/>
      <c r="T357" s="39"/>
      <c r="U357" s="37"/>
      <c r="V357" s="259"/>
      <c r="W357" s="38"/>
      <c r="X357" s="39"/>
      <c r="Y357" s="39"/>
      <c r="Z357" s="39"/>
      <c r="AA357" s="39"/>
      <c r="AB357" s="37"/>
      <c r="AF357" s="257"/>
      <c r="AG357" s="236"/>
      <c r="AH357" s="237"/>
    </row>
    <row r="358" spans="1:34" ht="15" customHeight="1">
      <c r="A358" s="38"/>
      <c r="B358" s="233"/>
      <c r="C358" s="36"/>
      <c r="D358" s="39"/>
      <c r="E358" s="39"/>
      <c r="F358" s="235"/>
      <c r="G358" s="36"/>
      <c r="H358" s="39"/>
      <c r="I358" s="37"/>
      <c r="J358" s="38"/>
      <c r="K358" s="39"/>
      <c r="L358" s="39"/>
      <c r="M358" s="39"/>
      <c r="N358" s="39"/>
      <c r="O358" s="37"/>
      <c r="P358" s="38"/>
      <c r="Q358" s="39"/>
      <c r="R358" s="37"/>
      <c r="S358" s="38"/>
      <c r="T358" s="39"/>
      <c r="U358" s="37"/>
      <c r="V358" s="259"/>
      <c r="W358" s="38"/>
      <c r="X358" s="39"/>
      <c r="Y358" s="39"/>
      <c r="Z358" s="39"/>
      <c r="AA358" s="39"/>
      <c r="AB358" s="37"/>
      <c r="AF358" s="257"/>
      <c r="AG358" s="236"/>
      <c r="AH358" s="237"/>
    </row>
    <row r="359" spans="1:34" ht="15" customHeight="1">
      <c r="A359" s="38"/>
      <c r="B359" s="233"/>
      <c r="C359" s="36"/>
      <c r="D359" s="39"/>
      <c r="E359" s="39"/>
      <c r="F359" s="235"/>
      <c r="G359" s="36"/>
      <c r="H359" s="39"/>
      <c r="I359" s="37"/>
      <c r="J359" s="38"/>
      <c r="K359" s="39"/>
      <c r="L359" s="39"/>
      <c r="M359" s="39"/>
      <c r="N359" s="39"/>
      <c r="O359" s="37"/>
      <c r="P359" s="38"/>
      <c r="Q359" s="39"/>
      <c r="R359" s="37"/>
      <c r="S359" s="38"/>
      <c r="T359" s="39"/>
      <c r="U359" s="37"/>
      <c r="V359" s="259"/>
      <c r="W359" s="38"/>
      <c r="X359" s="39"/>
      <c r="Y359" s="39"/>
      <c r="Z359" s="39"/>
      <c r="AA359" s="39"/>
      <c r="AB359" s="37"/>
      <c r="AF359" s="257"/>
      <c r="AG359" s="236"/>
      <c r="AH359" s="237"/>
    </row>
    <row r="360" spans="1:34" ht="15" customHeight="1">
      <c r="A360" s="38"/>
      <c r="B360" s="233"/>
      <c r="C360" s="36"/>
      <c r="D360" s="39"/>
      <c r="E360" s="39"/>
      <c r="F360" s="235"/>
      <c r="G360" s="36"/>
      <c r="H360" s="39"/>
      <c r="I360" s="37"/>
      <c r="J360" s="38"/>
      <c r="K360" s="39"/>
      <c r="L360" s="39"/>
      <c r="M360" s="39"/>
      <c r="N360" s="39"/>
      <c r="O360" s="37"/>
      <c r="P360" s="38"/>
      <c r="Q360" s="39"/>
      <c r="R360" s="37"/>
      <c r="S360" s="38"/>
      <c r="T360" s="39"/>
      <c r="U360" s="37"/>
      <c r="V360" s="259"/>
      <c r="W360" s="38"/>
      <c r="X360" s="39"/>
      <c r="Y360" s="39"/>
      <c r="Z360" s="39"/>
      <c r="AA360" s="39"/>
      <c r="AB360" s="37"/>
      <c r="AF360" s="257"/>
      <c r="AG360" s="236"/>
      <c r="AH360" s="237"/>
    </row>
    <row r="361" spans="1:34" ht="15" customHeight="1">
      <c r="A361" s="38"/>
      <c r="B361" s="233"/>
      <c r="C361" s="36"/>
      <c r="D361" s="39"/>
      <c r="E361" s="39"/>
      <c r="F361" s="235"/>
      <c r="G361" s="36"/>
      <c r="H361" s="39"/>
      <c r="I361" s="37"/>
      <c r="J361" s="38"/>
      <c r="K361" s="39"/>
      <c r="L361" s="39"/>
      <c r="M361" s="39"/>
      <c r="N361" s="39"/>
      <c r="O361" s="37"/>
      <c r="P361" s="38"/>
      <c r="Q361" s="39"/>
      <c r="R361" s="37"/>
      <c r="S361" s="38"/>
      <c r="T361" s="39"/>
      <c r="U361" s="37"/>
      <c r="V361" s="259"/>
      <c r="W361" s="38"/>
      <c r="X361" s="39"/>
      <c r="Y361" s="39"/>
      <c r="Z361" s="39"/>
      <c r="AA361" s="39"/>
      <c r="AB361" s="37"/>
      <c r="AF361" s="257"/>
      <c r="AG361" s="236"/>
      <c r="AH361" s="237"/>
    </row>
    <row r="362" spans="1:34" ht="15" customHeight="1">
      <c r="A362" s="38"/>
      <c r="B362" s="233"/>
      <c r="C362" s="36"/>
      <c r="D362" s="39"/>
      <c r="E362" s="39"/>
      <c r="F362" s="235"/>
      <c r="G362" s="36"/>
      <c r="H362" s="39"/>
      <c r="I362" s="37"/>
      <c r="J362" s="38"/>
      <c r="K362" s="39"/>
      <c r="L362" s="39"/>
      <c r="M362" s="39"/>
      <c r="N362" s="39"/>
      <c r="O362" s="37"/>
      <c r="P362" s="38"/>
      <c r="Q362" s="39"/>
      <c r="R362" s="37"/>
      <c r="S362" s="38"/>
      <c r="T362" s="39"/>
      <c r="U362" s="37"/>
      <c r="V362" s="259"/>
      <c r="W362" s="38"/>
      <c r="X362" s="39"/>
      <c r="Y362" s="39"/>
      <c r="Z362" s="39"/>
      <c r="AA362" s="39"/>
      <c r="AB362" s="37"/>
      <c r="AF362" s="257"/>
      <c r="AG362" s="236"/>
      <c r="AH362" s="237"/>
    </row>
    <row r="363" spans="1:34" ht="15" customHeight="1">
      <c r="A363" s="38"/>
      <c r="B363" s="233"/>
      <c r="C363" s="36"/>
      <c r="D363" s="39"/>
      <c r="E363" s="39"/>
      <c r="F363" s="235"/>
      <c r="G363" s="36"/>
      <c r="H363" s="39"/>
      <c r="I363" s="37"/>
      <c r="J363" s="38"/>
      <c r="K363" s="39"/>
      <c r="L363" s="39"/>
      <c r="M363" s="39"/>
      <c r="N363" s="39"/>
      <c r="O363" s="37"/>
      <c r="P363" s="38"/>
      <c r="Q363" s="39"/>
      <c r="R363" s="37"/>
      <c r="S363" s="38"/>
      <c r="T363" s="39"/>
      <c r="U363" s="37"/>
      <c r="V363" s="259"/>
      <c r="W363" s="38"/>
      <c r="X363" s="39"/>
      <c r="Y363" s="39"/>
      <c r="Z363" s="39"/>
      <c r="AA363" s="39"/>
      <c r="AB363" s="37"/>
      <c r="AF363" s="257"/>
      <c r="AG363" s="236"/>
      <c r="AH363" s="237"/>
    </row>
    <row r="364" spans="1:34" ht="15" customHeight="1">
      <c r="A364" s="38"/>
      <c r="B364" s="233"/>
      <c r="C364" s="36"/>
      <c r="D364" s="39"/>
      <c r="E364" s="39"/>
      <c r="F364" s="235"/>
      <c r="G364" s="36"/>
      <c r="H364" s="39"/>
      <c r="I364" s="37"/>
      <c r="J364" s="38"/>
      <c r="K364" s="39"/>
      <c r="L364" s="39"/>
      <c r="M364" s="39"/>
      <c r="N364" s="39"/>
      <c r="O364" s="37"/>
      <c r="P364" s="38"/>
      <c r="Q364" s="39"/>
      <c r="R364" s="37"/>
      <c r="S364" s="38"/>
      <c r="T364" s="39"/>
      <c r="U364" s="37"/>
      <c r="V364" s="259"/>
      <c r="W364" s="38"/>
      <c r="X364" s="39"/>
      <c r="Y364" s="39"/>
      <c r="Z364" s="39"/>
      <c r="AA364" s="39"/>
      <c r="AB364" s="37"/>
      <c r="AF364" s="257"/>
      <c r="AG364" s="236"/>
      <c r="AH364" s="237"/>
    </row>
    <row r="365" spans="1:34" ht="15" customHeight="1">
      <c r="A365" s="38"/>
      <c r="B365" s="233"/>
      <c r="C365" s="36"/>
      <c r="D365" s="39"/>
      <c r="E365" s="39"/>
      <c r="F365" s="235"/>
      <c r="G365" s="36"/>
      <c r="H365" s="39"/>
      <c r="I365" s="37"/>
      <c r="J365" s="38"/>
      <c r="K365" s="39"/>
      <c r="L365" s="39"/>
      <c r="M365" s="39"/>
      <c r="N365" s="39"/>
      <c r="O365" s="37"/>
      <c r="P365" s="38"/>
      <c r="Q365" s="39"/>
      <c r="R365" s="37"/>
      <c r="S365" s="38"/>
      <c r="T365" s="39"/>
      <c r="U365" s="37"/>
      <c r="V365" s="259"/>
      <c r="W365" s="38"/>
      <c r="X365" s="39"/>
      <c r="Y365" s="39"/>
      <c r="Z365" s="39"/>
      <c r="AA365" s="39"/>
      <c r="AB365" s="37"/>
      <c r="AF365" s="257"/>
      <c r="AG365" s="236"/>
      <c r="AH365" s="237"/>
    </row>
    <row r="366" spans="1:34" ht="15" customHeight="1">
      <c r="A366" s="38"/>
      <c r="B366" s="233"/>
      <c r="C366" s="36"/>
      <c r="D366" s="39"/>
      <c r="E366" s="39"/>
      <c r="F366" s="235"/>
      <c r="G366" s="36"/>
      <c r="H366" s="39"/>
      <c r="I366" s="37"/>
      <c r="J366" s="38"/>
      <c r="K366" s="39"/>
      <c r="L366" s="39"/>
      <c r="M366" s="39"/>
      <c r="N366" s="39"/>
      <c r="O366" s="37"/>
      <c r="P366" s="38"/>
      <c r="Q366" s="39"/>
      <c r="R366" s="37"/>
      <c r="S366" s="38"/>
      <c r="T366" s="39"/>
      <c r="U366" s="37"/>
      <c r="V366" s="259"/>
      <c r="W366" s="38"/>
      <c r="X366" s="39"/>
      <c r="Y366" s="39"/>
      <c r="Z366" s="39"/>
      <c r="AA366" s="39"/>
      <c r="AB366" s="37"/>
      <c r="AF366" s="257"/>
      <c r="AG366" s="236"/>
      <c r="AH366" s="237"/>
    </row>
    <row r="367" spans="1:34" ht="15" customHeight="1">
      <c r="A367" s="38"/>
      <c r="B367" s="233"/>
      <c r="C367" s="36"/>
      <c r="D367" s="39"/>
      <c r="E367" s="39"/>
      <c r="F367" s="235"/>
      <c r="G367" s="36"/>
      <c r="H367" s="39"/>
      <c r="I367" s="37"/>
      <c r="J367" s="38"/>
      <c r="K367" s="39"/>
      <c r="L367" s="39"/>
      <c r="M367" s="39"/>
      <c r="N367" s="39"/>
      <c r="O367" s="37"/>
      <c r="P367" s="38"/>
      <c r="Q367" s="39"/>
      <c r="R367" s="37"/>
      <c r="S367" s="38"/>
      <c r="T367" s="39"/>
      <c r="U367" s="37"/>
      <c r="V367" s="259"/>
      <c r="W367" s="38"/>
      <c r="X367" s="39"/>
      <c r="Y367" s="39"/>
      <c r="Z367" s="39"/>
      <c r="AA367" s="39"/>
      <c r="AB367" s="37"/>
      <c r="AF367" s="257"/>
      <c r="AG367" s="236"/>
      <c r="AH367" s="237"/>
    </row>
    <row r="368" spans="1:34" ht="15" customHeight="1">
      <c r="A368" s="38"/>
      <c r="B368" s="233"/>
      <c r="C368" s="36"/>
      <c r="D368" s="39"/>
      <c r="E368" s="39"/>
      <c r="F368" s="235"/>
      <c r="G368" s="36"/>
      <c r="H368" s="39"/>
      <c r="I368" s="37"/>
      <c r="J368" s="38"/>
      <c r="K368" s="39"/>
      <c r="L368" s="39"/>
      <c r="M368" s="39"/>
      <c r="N368" s="39"/>
      <c r="O368" s="37"/>
      <c r="P368" s="38"/>
      <c r="Q368" s="39"/>
      <c r="R368" s="37"/>
      <c r="S368" s="38"/>
      <c r="T368" s="39"/>
      <c r="U368" s="37"/>
      <c r="V368" s="259"/>
      <c r="W368" s="38"/>
      <c r="X368" s="39"/>
      <c r="Y368" s="39"/>
      <c r="Z368" s="39"/>
      <c r="AA368" s="39"/>
      <c r="AB368" s="37"/>
      <c r="AF368" s="257"/>
      <c r="AG368" s="236"/>
      <c r="AH368" s="237"/>
    </row>
    <row r="369" spans="1:34" ht="15" customHeight="1">
      <c r="A369" s="38"/>
      <c r="B369" s="233"/>
      <c r="C369" s="36"/>
      <c r="D369" s="39"/>
      <c r="E369" s="39"/>
      <c r="F369" s="235"/>
      <c r="G369" s="36"/>
      <c r="H369" s="39"/>
      <c r="I369" s="37"/>
      <c r="J369" s="38"/>
      <c r="K369" s="39"/>
      <c r="L369" s="39"/>
      <c r="M369" s="39"/>
      <c r="N369" s="39"/>
      <c r="O369" s="37"/>
      <c r="P369" s="38"/>
      <c r="Q369" s="39"/>
      <c r="R369" s="37"/>
      <c r="S369" s="38"/>
      <c r="T369" s="39"/>
      <c r="U369" s="37"/>
      <c r="V369" s="259"/>
      <c r="W369" s="38"/>
      <c r="X369" s="39"/>
      <c r="Y369" s="39"/>
      <c r="Z369" s="39"/>
      <c r="AA369" s="39"/>
      <c r="AB369" s="37"/>
      <c r="AF369" s="257"/>
      <c r="AG369" s="236"/>
      <c r="AH369" s="237"/>
    </row>
    <row r="370" spans="1:34" ht="15" customHeight="1">
      <c r="A370" s="38"/>
      <c r="B370" s="233"/>
      <c r="C370" s="36"/>
      <c r="D370" s="39"/>
      <c r="E370" s="39"/>
      <c r="F370" s="235"/>
      <c r="G370" s="36"/>
      <c r="H370" s="39"/>
      <c r="I370" s="37"/>
      <c r="J370" s="38"/>
      <c r="K370" s="39"/>
      <c r="L370" s="39"/>
      <c r="M370" s="39"/>
      <c r="N370" s="39"/>
      <c r="O370" s="37"/>
      <c r="P370" s="38"/>
      <c r="Q370" s="39"/>
      <c r="R370" s="37"/>
      <c r="S370" s="38"/>
      <c r="T370" s="39"/>
      <c r="U370" s="37"/>
      <c r="V370" s="259"/>
      <c r="W370" s="38"/>
      <c r="X370" s="39"/>
      <c r="Y370" s="39"/>
      <c r="Z370" s="39"/>
      <c r="AA370" s="39"/>
      <c r="AB370" s="37"/>
      <c r="AF370" s="257"/>
      <c r="AG370" s="236"/>
      <c r="AH370" s="237"/>
    </row>
    <row r="371" spans="1:34" ht="15" customHeight="1">
      <c r="A371" s="38"/>
      <c r="B371" s="233"/>
      <c r="C371" s="36"/>
      <c r="D371" s="39"/>
      <c r="E371" s="39"/>
      <c r="F371" s="235"/>
      <c r="G371" s="36"/>
      <c r="H371" s="39"/>
      <c r="I371" s="37"/>
      <c r="J371" s="38"/>
      <c r="K371" s="39"/>
      <c r="L371" s="39"/>
      <c r="M371" s="39"/>
      <c r="N371" s="39"/>
      <c r="O371" s="37"/>
      <c r="P371" s="38"/>
      <c r="Q371" s="39"/>
      <c r="R371" s="37"/>
      <c r="S371" s="38"/>
      <c r="T371" s="39"/>
      <c r="U371" s="37"/>
      <c r="V371" s="259"/>
      <c r="W371" s="38"/>
      <c r="X371" s="39"/>
      <c r="Y371" s="39"/>
      <c r="Z371" s="39"/>
      <c r="AA371" s="39"/>
      <c r="AB371" s="37"/>
      <c r="AF371" s="257"/>
      <c r="AG371" s="236"/>
      <c r="AH371" s="237"/>
    </row>
    <row r="372" spans="1:34" ht="15" customHeight="1">
      <c r="A372" s="38"/>
      <c r="B372" s="233"/>
      <c r="C372" s="36"/>
      <c r="D372" s="39"/>
      <c r="E372" s="39"/>
      <c r="F372" s="235"/>
      <c r="G372" s="36"/>
      <c r="H372" s="39"/>
      <c r="I372" s="37"/>
      <c r="J372" s="38"/>
      <c r="K372" s="39"/>
      <c r="L372" s="39"/>
      <c r="M372" s="39"/>
      <c r="N372" s="39"/>
      <c r="O372" s="37"/>
      <c r="P372" s="38"/>
      <c r="Q372" s="39"/>
      <c r="R372" s="37"/>
      <c r="S372" s="38"/>
      <c r="T372" s="39"/>
      <c r="U372" s="37"/>
      <c r="V372" s="259"/>
      <c r="W372" s="38"/>
      <c r="X372" s="39"/>
      <c r="Y372" s="39"/>
      <c r="Z372" s="39"/>
      <c r="AA372" s="39"/>
      <c r="AB372" s="37"/>
      <c r="AF372" s="257"/>
      <c r="AG372" s="236"/>
      <c r="AH372" s="237"/>
    </row>
    <row r="373" spans="1:34" ht="15" customHeight="1">
      <c r="A373" s="38"/>
      <c r="B373" s="233"/>
      <c r="C373" s="36"/>
      <c r="D373" s="39"/>
      <c r="E373" s="39"/>
      <c r="F373" s="235"/>
      <c r="G373" s="36"/>
      <c r="H373" s="39"/>
      <c r="I373" s="37"/>
      <c r="J373" s="38"/>
      <c r="K373" s="39"/>
      <c r="L373" s="39"/>
      <c r="M373" s="39"/>
      <c r="N373" s="39"/>
      <c r="O373" s="37"/>
      <c r="P373" s="38"/>
      <c r="Q373" s="39"/>
      <c r="R373" s="37"/>
      <c r="S373" s="38"/>
      <c r="T373" s="39"/>
      <c r="U373" s="37"/>
      <c r="V373" s="259"/>
      <c r="W373" s="38"/>
      <c r="X373" s="39"/>
      <c r="Y373" s="39"/>
      <c r="Z373" s="39"/>
      <c r="AA373" s="39"/>
      <c r="AB373" s="37"/>
      <c r="AF373" s="257"/>
      <c r="AG373" s="236"/>
      <c r="AH373" s="237"/>
    </row>
    <row r="374" spans="1:34" ht="15" customHeight="1">
      <c r="A374" s="38"/>
      <c r="B374" s="233"/>
      <c r="C374" s="36"/>
      <c r="D374" s="39"/>
      <c r="E374" s="39"/>
      <c r="F374" s="235"/>
      <c r="G374" s="36"/>
      <c r="H374" s="39"/>
      <c r="I374" s="37"/>
      <c r="J374" s="38"/>
      <c r="K374" s="39"/>
      <c r="L374" s="39"/>
      <c r="M374" s="39"/>
      <c r="N374" s="39"/>
      <c r="O374" s="37"/>
      <c r="P374" s="38"/>
      <c r="Q374" s="39"/>
      <c r="R374" s="37"/>
      <c r="S374" s="38"/>
      <c r="T374" s="39"/>
      <c r="U374" s="37"/>
      <c r="V374" s="259"/>
      <c r="W374" s="38"/>
      <c r="X374" s="39"/>
      <c r="Y374" s="39"/>
      <c r="Z374" s="39"/>
      <c r="AA374" s="39"/>
      <c r="AB374" s="37"/>
      <c r="AF374" s="257"/>
      <c r="AG374" s="236"/>
      <c r="AH374" s="237"/>
    </row>
    <row r="375" spans="1:34" ht="15" customHeight="1">
      <c r="A375" s="38"/>
      <c r="B375" s="233"/>
      <c r="C375" s="36"/>
      <c r="D375" s="39"/>
      <c r="E375" s="39"/>
      <c r="F375" s="235"/>
      <c r="G375" s="36"/>
      <c r="H375" s="39"/>
      <c r="I375" s="37"/>
      <c r="J375" s="38"/>
      <c r="K375" s="39"/>
      <c r="L375" s="39"/>
      <c r="M375" s="39"/>
      <c r="N375" s="39"/>
      <c r="O375" s="37"/>
      <c r="P375" s="38"/>
      <c r="Q375" s="39"/>
      <c r="R375" s="37"/>
      <c r="S375" s="38"/>
      <c r="T375" s="39"/>
      <c r="U375" s="37"/>
      <c r="V375" s="259"/>
      <c r="W375" s="38"/>
      <c r="X375" s="39"/>
      <c r="Y375" s="39"/>
      <c r="Z375" s="39"/>
      <c r="AA375" s="39"/>
      <c r="AB375" s="37"/>
      <c r="AF375" s="257"/>
      <c r="AG375" s="236"/>
      <c r="AH375" s="237"/>
    </row>
    <row r="376" spans="1:34" ht="15" customHeight="1">
      <c r="A376" s="38"/>
      <c r="B376" s="233"/>
      <c r="C376" s="36"/>
      <c r="D376" s="39"/>
      <c r="E376" s="39"/>
      <c r="F376" s="235"/>
      <c r="G376" s="36"/>
      <c r="H376" s="39"/>
      <c r="I376" s="37"/>
      <c r="J376" s="38"/>
      <c r="K376" s="39"/>
      <c r="L376" s="39"/>
      <c r="M376" s="39"/>
      <c r="N376" s="39"/>
      <c r="O376" s="37"/>
      <c r="P376" s="38"/>
      <c r="Q376" s="39"/>
      <c r="R376" s="37"/>
      <c r="S376" s="38"/>
      <c r="T376" s="39"/>
      <c r="U376" s="37"/>
      <c r="V376" s="259"/>
      <c r="W376" s="38"/>
      <c r="X376" s="39"/>
      <c r="Y376" s="39"/>
      <c r="Z376" s="39"/>
      <c r="AA376" s="39"/>
      <c r="AB376" s="37"/>
      <c r="AF376" s="257"/>
      <c r="AG376" s="236"/>
      <c r="AH376" s="237"/>
    </row>
    <row r="377" spans="1:34" ht="15" customHeight="1">
      <c r="A377" s="38"/>
      <c r="B377" s="233"/>
      <c r="C377" s="36"/>
      <c r="D377" s="39"/>
      <c r="E377" s="39"/>
      <c r="F377" s="235"/>
      <c r="G377" s="36"/>
      <c r="H377" s="39"/>
      <c r="I377" s="37"/>
      <c r="J377" s="38"/>
      <c r="K377" s="39"/>
      <c r="L377" s="39"/>
      <c r="M377" s="39"/>
      <c r="N377" s="39"/>
      <c r="O377" s="37"/>
      <c r="P377" s="38"/>
      <c r="Q377" s="39"/>
      <c r="R377" s="37"/>
      <c r="S377" s="38"/>
      <c r="T377" s="39"/>
      <c r="U377" s="37"/>
      <c r="V377" s="259"/>
      <c r="W377" s="38"/>
      <c r="X377" s="39"/>
      <c r="Y377" s="39"/>
      <c r="Z377" s="39"/>
      <c r="AA377" s="39"/>
      <c r="AB377" s="37"/>
      <c r="AF377" s="257"/>
      <c r="AG377" s="236"/>
      <c r="AH377" s="237"/>
    </row>
    <row r="378" spans="1:34" ht="15" customHeight="1">
      <c r="A378" s="38"/>
      <c r="B378" s="233"/>
      <c r="C378" s="36"/>
      <c r="D378" s="39"/>
      <c r="E378" s="39"/>
      <c r="F378" s="235"/>
      <c r="G378" s="36"/>
      <c r="H378" s="39"/>
      <c r="I378" s="37"/>
      <c r="J378" s="38"/>
      <c r="K378" s="39"/>
      <c r="L378" s="39"/>
      <c r="M378" s="39"/>
      <c r="N378" s="39"/>
      <c r="O378" s="37"/>
      <c r="P378" s="38"/>
      <c r="Q378" s="39"/>
      <c r="R378" s="37"/>
      <c r="S378" s="38"/>
      <c r="T378" s="39"/>
      <c r="U378" s="37"/>
      <c r="V378" s="259"/>
      <c r="W378" s="38"/>
      <c r="X378" s="39"/>
      <c r="Y378" s="39"/>
      <c r="Z378" s="39"/>
      <c r="AA378" s="39"/>
      <c r="AB378" s="37"/>
      <c r="AF378" s="257"/>
      <c r="AG378" s="236"/>
      <c r="AH378" s="237"/>
    </row>
    <row r="379" spans="1:34" ht="15" customHeight="1">
      <c r="A379" s="38"/>
      <c r="B379" s="233"/>
      <c r="C379" s="36"/>
      <c r="D379" s="39"/>
      <c r="E379" s="39"/>
      <c r="F379" s="235"/>
      <c r="G379" s="36"/>
      <c r="H379" s="39"/>
      <c r="I379" s="37"/>
      <c r="J379" s="38"/>
      <c r="K379" s="39"/>
      <c r="L379" s="39"/>
      <c r="M379" s="39"/>
      <c r="N379" s="39"/>
      <c r="O379" s="37"/>
      <c r="P379" s="38"/>
      <c r="Q379" s="39"/>
      <c r="R379" s="37"/>
      <c r="S379" s="38"/>
      <c r="T379" s="39"/>
      <c r="U379" s="37"/>
      <c r="V379" s="259"/>
      <c r="W379" s="38"/>
      <c r="X379" s="39"/>
      <c r="Y379" s="39"/>
      <c r="Z379" s="39"/>
      <c r="AA379" s="39"/>
      <c r="AB379" s="37"/>
      <c r="AF379" s="257"/>
      <c r="AG379" s="236"/>
      <c r="AH379" s="237"/>
    </row>
    <row r="380" spans="1:34" ht="15" customHeight="1">
      <c r="A380" s="38"/>
      <c r="B380" s="233"/>
      <c r="C380" s="36"/>
      <c r="D380" s="39"/>
      <c r="E380" s="39"/>
      <c r="F380" s="235"/>
      <c r="G380" s="36"/>
      <c r="H380" s="39"/>
      <c r="I380" s="37"/>
      <c r="J380" s="38"/>
      <c r="K380" s="39"/>
      <c r="L380" s="39"/>
      <c r="M380" s="39"/>
      <c r="N380" s="39"/>
      <c r="O380" s="37"/>
      <c r="P380" s="38"/>
      <c r="Q380" s="39"/>
      <c r="R380" s="37"/>
      <c r="S380" s="38"/>
      <c r="T380" s="39"/>
      <c r="U380" s="37"/>
      <c r="V380" s="259"/>
      <c r="W380" s="38"/>
      <c r="X380" s="39"/>
      <c r="Y380" s="39"/>
      <c r="Z380" s="39"/>
      <c r="AA380" s="39"/>
      <c r="AB380" s="37"/>
      <c r="AF380" s="257"/>
      <c r="AG380" s="236"/>
      <c r="AH380" s="237"/>
    </row>
    <row r="381" spans="1:34" ht="15" customHeight="1">
      <c r="A381" s="38"/>
      <c r="B381" s="233"/>
      <c r="C381" s="36"/>
      <c r="D381" s="39"/>
      <c r="E381" s="39"/>
      <c r="F381" s="235"/>
      <c r="G381" s="36"/>
      <c r="H381" s="39"/>
      <c r="I381" s="37"/>
      <c r="J381" s="38"/>
      <c r="K381" s="39"/>
      <c r="L381" s="39"/>
      <c r="M381" s="39"/>
      <c r="N381" s="39"/>
      <c r="O381" s="37"/>
      <c r="P381" s="38"/>
      <c r="Q381" s="39"/>
      <c r="R381" s="37"/>
      <c r="S381" s="38"/>
      <c r="T381" s="39"/>
      <c r="U381" s="37"/>
      <c r="V381" s="259"/>
      <c r="W381" s="38"/>
      <c r="X381" s="39"/>
      <c r="Y381" s="39"/>
      <c r="Z381" s="39"/>
      <c r="AA381" s="39"/>
      <c r="AB381" s="37"/>
      <c r="AF381" s="257"/>
      <c r="AG381" s="236"/>
      <c r="AH381" s="237"/>
    </row>
    <row r="382" spans="1:34" ht="15" customHeight="1">
      <c r="A382" s="38"/>
      <c r="B382" s="233"/>
      <c r="C382" s="36"/>
      <c r="D382" s="39"/>
      <c r="E382" s="39"/>
      <c r="F382" s="235"/>
      <c r="G382" s="36"/>
      <c r="H382" s="39"/>
      <c r="I382" s="37"/>
      <c r="J382" s="38"/>
      <c r="K382" s="39"/>
      <c r="L382" s="39"/>
      <c r="M382" s="39"/>
      <c r="N382" s="39"/>
      <c r="O382" s="37"/>
      <c r="P382" s="38"/>
      <c r="Q382" s="39"/>
      <c r="R382" s="37"/>
      <c r="S382" s="38"/>
      <c r="T382" s="39"/>
      <c r="U382" s="37"/>
      <c r="V382" s="259"/>
      <c r="W382" s="38"/>
      <c r="X382" s="39"/>
      <c r="Y382" s="39"/>
      <c r="Z382" s="39"/>
      <c r="AA382" s="39"/>
      <c r="AB382" s="37"/>
      <c r="AF382" s="257"/>
      <c r="AG382" s="236"/>
      <c r="AH382" s="237"/>
    </row>
    <row r="383" spans="1:34" ht="15" customHeight="1">
      <c r="A383" s="38"/>
      <c r="B383" s="233"/>
      <c r="C383" s="36"/>
      <c r="D383" s="39"/>
      <c r="E383" s="39"/>
      <c r="F383" s="235"/>
      <c r="G383" s="36"/>
      <c r="H383" s="39"/>
      <c r="I383" s="37"/>
      <c r="J383" s="38"/>
      <c r="K383" s="39"/>
      <c r="L383" s="39"/>
      <c r="M383" s="39"/>
      <c r="N383" s="39"/>
      <c r="O383" s="37"/>
      <c r="P383" s="38"/>
      <c r="Q383" s="39"/>
      <c r="R383" s="37"/>
      <c r="S383" s="38"/>
      <c r="T383" s="39"/>
      <c r="U383" s="37"/>
      <c r="V383" s="259"/>
      <c r="W383" s="38"/>
      <c r="X383" s="39"/>
      <c r="Y383" s="39"/>
      <c r="Z383" s="39"/>
      <c r="AA383" s="39"/>
      <c r="AB383" s="37"/>
      <c r="AF383" s="257"/>
      <c r="AG383" s="236"/>
      <c r="AH383" s="237"/>
    </row>
    <row r="384" spans="1:34" ht="15" customHeight="1">
      <c r="A384" s="38"/>
      <c r="B384" s="233"/>
      <c r="C384" s="36"/>
      <c r="D384" s="39"/>
      <c r="E384" s="39"/>
      <c r="F384" s="235"/>
      <c r="G384" s="36"/>
      <c r="H384" s="39"/>
      <c r="I384" s="37"/>
      <c r="J384" s="38"/>
      <c r="K384" s="39"/>
      <c r="L384" s="39"/>
      <c r="M384" s="39"/>
      <c r="N384" s="39"/>
      <c r="O384" s="37"/>
      <c r="P384" s="38"/>
      <c r="Q384" s="39"/>
      <c r="R384" s="37"/>
      <c r="S384" s="38"/>
      <c r="T384" s="39"/>
      <c r="U384" s="37"/>
      <c r="V384" s="259"/>
      <c r="W384" s="38"/>
      <c r="X384" s="39"/>
      <c r="Y384" s="39"/>
      <c r="Z384" s="39"/>
      <c r="AA384" s="39"/>
      <c r="AB384" s="37"/>
      <c r="AF384" s="257"/>
      <c r="AG384" s="236"/>
      <c r="AH384" s="237"/>
    </row>
    <row r="385" spans="1:34" ht="15" customHeight="1">
      <c r="A385" s="38"/>
      <c r="B385" s="233"/>
      <c r="C385" s="36"/>
      <c r="D385" s="39"/>
      <c r="E385" s="39"/>
      <c r="F385" s="235"/>
      <c r="G385" s="36"/>
      <c r="H385" s="39"/>
      <c r="I385" s="37"/>
      <c r="J385" s="38"/>
      <c r="K385" s="39"/>
      <c r="L385" s="39"/>
      <c r="M385" s="39"/>
      <c r="N385" s="39"/>
      <c r="O385" s="37"/>
      <c r="P385" s="38"/>
      <c r="Q385" s="39"/>
      <c r="R385" s="37"/>
      <c r="S385" s="38"/>
      <c r="T385" s="39"/>
      <c r="U385" s="37"/>
      <c r="V385" s="259"/>
      <c r="W385" s="38"/>
      <c r="X385" s="39"/>
      <c r="Y385" s="39"/>
      <c r="Z385" s="39"/>
      <c r="AA385" s="39"/>
      <c r="AB385" s="37"/>
      <c r="AF385" s="257"/>
      <c r="AG385" s="236"/>
      <c r="AH385" s="237"/>
    </row>
    <row r="386" spans="1:34" ht="15" customHeight="1">
      <c r="A386" s="38"/>
      <c r="B386" s="233"/>
      <c r="C386" s="36"/>
      <c r="D386" s="39"/>
      <c r="E386" s="39"/>
      <c r="F386" s="235"/>
      <c r="G386" s="36"/>
      <c r="H386" s="39"/>
      <c r="I386" s="37"/>
      <c r="J386" s="38"/>
      <c r="K386" s="39"/>
      <c r="L386" s="39"/>
      <c r="M386" s="39"/>
      <c r="N386" s="39"/>
      <c r="O386" s="37"/>
      <c r="P386" s="38"/>
      <c r="Q386" s="39"/>
      <c r="R386" s="37"/>
      <c r="S386" s="38"/>
      <c r="T386" s="39"/>
      <c r="U386" s="37"/>
      <c r="V386" s="259"/>
      <c r="W386" s="38"/>
      <c r="X386" s="39"/>
      <c r="Y386" s="39"/>
      <c r="Z386" s="39"/>
      <c r="AA386" s="39"/>
      <c r="AB386" s="37"/>
      <c r="AF386" s="257"/>
      <c r="AG386" s="236"/>
      <c r="AH386" s="237"/>
    </row>
    <row r="387" spans="1:34" ht="15" customHeight="1">
      <c r="A387" s="38"/>
      <c r="B387" s="233"/>
      <c r="C387" s="36"/>
      <c r="D387" s="39"/>
      <c r="E387" s="39"/>
      <c r="F387" s="235"/>
      <c r="G387" s="36"/>
      <c r="H387" s="39"/>
      <c r="I387" s="37"/>
      <c r="J387" s="38"/>
      <c r="K387" s="39"/>
      <c r="L387" s="39"/>
      <c r="M387" s="39"/>
      <c r="N387" s="39"/>
      <c r="O387" s="37"/>
      <c r="P387" s="38"/>
      <c r="Q387" s="39"/>
      <c r="R387" s="37"/>
      <c r="S387" s="38"/>
      <c r="T387" s="39"/>
      <c r="U387" s="37"/>
      <c r="V387" s="259"/>
      <c r="W387" s="38"/>
      <c r="X387" s="39"/>
      <c r="Y387" s="39"/>
      <c r="Z387" s="39"/>
      <c r="AA387" s="39"/>
      <c r="AB387" s="37"/>
      <c r="AF387" s="257"/>
      <c r="AG387" s="236"/>
      <c r="AH387" s="237"/>
    </row>
    <row r="388" spans="1:34" ht="15" customHeight="1">
      <c r="A388" s="38"/>
      <c r="B388" s="233"/>
      <c r="C388" s="36"/>
      <c r="D388" s="39"/>
      <c r="E388" s="39"/>
      <c r="F388" s="235"/>
      <c r="G388" s="36"/>
      <c r="H388" s="39"/>
      <c r="I388" s="37"/>
      <c r="J388" s="38"/>
      <c r="K388" s="39"/>
      <c r="L388" s="39"/>
      <c r="M388" s="39"/>
      <c r="N388" s="39"/>
      <c r="O388" s="37"/>
      <c r="P388" s="38"/>
      <c r="Q388" s="39"/>
      <c r="R388" s="37"/>
      <c r="S388" s="38"/>
      <c r="T388" s="39"/>
      <c r="U388" s="37"/>
      <c r="V388" s="259"/>
      <c r="W388" s="38"/>
      <c r="X388" s="39"/>
      <c r="Y388" s="39"/>
      <c r="Z388" s="39"/>
      <c r="AA388" s="39"/>
      <c r="AB388" s="37"/>
      <c r="AF388" s="257"/>
      <c r="AG388" s="236"/>
      <c r="AH388" s="237"/>
    </row>
    <row r="389" spans="1:34" ht="15" customHeight="1">
      <c r="A389" s="38"/>
      <c r="B389" s="233"/>
      <c r="C389" s="36"/>
      <c r="D389" s="39"/>
      <c r="E389" s="39"/>
      <c r="F389" s="235"/>
      <c r="G389" s="36"/>
      <c r="H389" s="39"/>
      <c r="I389" s="37"/>
      <c r="J389" s="38"/>
      <c r="K389" s="39"/>
      <c r="L389" s="39"/>
      <c r="M389" s="39"/>
      <c r="N389" s="39"/>
      <c r="O389" s="37"/>
      <c r="P389" s="38"/>
      <c r="Q389" s="39"/>
      <c r="R389" s="37"/>
      <c r="S389" s="38"/>
      <c r="T389" s="39"/>
      <c r="U389" s="37"/>
      <c r="V389" s="259"/>
      <c r="W389" s="38"/>
      <c r="X389" s="39"/>
      <c r="Y389" s="39"/>
      <c r="Z389" s="39"/>
      <c r="AA389" s="39"/>
      <c r="AB389" s="37"/>
      <c r="AF389" s="257"/>
      <c r="AG389" s="236"/>
      <c r="AH389" s="237"/>
    </row>
    <row r="390" spans="1:34" ht="15" customHeight="1">
      <c r="A390" s="38"/>
      <c r="B390" s="233"/>
      <c r="C390" s="36"/>
      <c r="D390" s="39"/>
      <c r="E390" s="39"/>
      <c r="F390" s="235"/>
      <c r="G390" s="36"/>
      <c r="H390" s="39"/>
      <c r="I390" s="37"/>
      <c r="J390" s="38"/>
      <c r="K390" s="39"/>
      <c r="L390" s="39"/>
      <c r="M390" s="39"/>
      <c r="N390" s="39"/>
      <c r="O390" s="37"/>
      <c r="P390" s="38"/>
      <c r="Q390" s="39"/>
      <c r="R390" s="37"/>
      <c r="S390" s="38"/>
      <c r="T390" s="39"/>
      <c r="U390" s="37"/>
      <c r="V390" s="259"/>
      <c r="W390" s="38"/>
      <c r="X390" s="39"/>
      <c r="Y390" s="39"/>
      <c r="Z390" s="39"/>
      <c r="AA390" s="39"/>
      <c r="AB390" s="37"/>
      <c r="AF390" s="257"/>
      <c r="AG390" s="236"/>
      <c r="AH390" s="237"/>
    </row>
    <row r="391" spans="1:34" ht="15" customHeight="1">
      <c r="A391" s="38"/>
      <c r="B391" s="233"/>
      <c r="C391" s="36"/>
      <c r="D391" s="39"/>
      <c r="E391" s="39"/>
      <c r="F391" s="235"/>
      <c r="G391" s="36"/>
      <c r="H391" s="39"/>
      <c r="I391" s="37"/>
      <c r="J391" s="38"/>
      <c r="K391" s="39"/>
      <c r="L391" s="39"/>
      <c r="M391" s="39"/>
      <c r="N391" s="39"/>
      <c r="O391" s="37"/>
      <c r="P391" s="38"/>
      <c r="Q391" s="39"/>
      <c r="R391" s="37"/>
      <c r="S391" s="38"/>
      <c r="T391" s="39"/>
      <c r="U391" s="37"/>
      <c r="V391" s="259"/>
      <c r="W391" s="38"/>
      <c r="X391" s="39"/>
      <c r="Y391" s="39"/>
      <c r="Z391" s="39"/>
      <c r="AA391" s="39"/>
      <c r="AB391" s="37"/>
      <c r="AF391" s="257"/>
      <c r="AG391" s="236"/>
      <c r="AH391" s="237"/>
    </row>
    <row r="392" spans="1:34" ht="15" customHeight="1">
      <c r="A392" s="38"/>
      <c r="B392" s="233"/>
      <c r="C392" s="36"/>
      <c r="D392" s="39"/>
      <c r="E392" s="39"/>
      <c r="F392" s="235"/>
      <c r="G392" s="36"/>
      <c r="H392" s="39"/>
      <c r="I392" s="37"/>
      <c r="J392" s="38"/>
      <c r="K392" s="39"/>
      <c r="L392" s="39"/>
      <c r="M392" s="39"/>
      <c r="N392" s="39"/>
      <c r="O392" s="37"/>
      <c r="P392" s="38"/>
      <c r="Q392" s="39"/>
      <c r="R392" s="37"/>
      <c r="S392" s="38"/>
      <c r="T392" s="39"/>
      <c r="U392" s="37"/>
      <c r="V392" s="259"/>
      <c r="W392" s="38"/>
      <c r="X392" s="39"/>
      <c r="Y392" s="39"/>
      <c r="Z392" s="39"/>
      <c r="AA392" s="39"/>
      <c r="AB392" s="37"/>
      <c r="AF392" s="257"/>
      <c r="AG392" s="236"/>
      <c r="AH392" s="237"/>
    </row>
    <row r="393" spans="1:34" ht="15" customHeight="1">
      <c r="A393" s="38"/>
      <c r="B393" s="233"/>
      <c r="C393" s="36"/>
      <c r="D393" s="39"/>
      <c r="E393" s="39"/>
      <c r="F393" s="235"/>
      <c r="G393" s="36"/>
      <c r="H393" s="39"/>
      <c r="I393" s="37"/>
      <c r="J393" s="38"/>
      <c r="K393" s="39"/>
      <c r="L393" s="39"/>
      <c r="M393" s="39"/>
      <c r="N393" s="39"/>
      <c r="O393" s="37"/>
      <c r="P393" s="38"/>
      <c r="Q393" s="39"/>
      <c r="R393" s="37"/>
      <c r="S393" s="38"/>
      <c r="T393" s="39"/>
      <c r="U393" s="37"/>
      <c r="V393" s="259"/>
      <c r="W393" s="38"/>
      <c r="X393" s="39"/>
      <c r="Y393" s="39"/>
      <c r="Z393" s="39"/>
      <c r="AA393" s="39"/>
      <c r="AB393" s="37"/>
      <c r="AF393" s="257"/>
      <c r="AG393" s="236"/>
      <c r="AH393" s="237"/>
    </row>
    <row r="394" spans="1:34" ht="15" customHeight="1">
      <c r="A394" s="38"/>
      <c r="B394" s="233"/>
      <c r="C394" s="36"/>
      <c r="D394" s="39"/>
      <c r="E394" s="39"/>
      <c r="F394" s="235"/>
      <c r="G394" s="36"/>
      <c r="H394" s="39"/>
      <c r="I394" s="37"/>
      <c r="J394" s="38"/>
      <c r="K394" s="39"/>
      <c r="L394" s="39"/>
      <c r="M394" s="39"/>
      <c r="N394" s="39"/>
      <c r="O394" s="37"/>
      <c r="P394" s="38"/>
      <c r="Q394" s="39"/>
      <c r="R394" s="37"/>
      <c r="S394" s="38"/>
      <c r="T394" s="39"/>
      <c r="U394" s="37"/>
      <c r="V394" s="259"/>
      <c r="W394" s="38"/>
      <c r="X394" s="39"/>
      <c r="Y394" s="39"/>
      <c r="Z394" s="39"/>
      <c r="AA394" s="39"/>
      <c r="AB394" s="37"/>
      <c r="AF394" s="257"/>
      <c r="AG394" s="236"/>
      <c r="AH394" s="237"/>
    </row>
    <row r="395" spans="1:34" ht="15" customHeight="1">
      <c r="A395" s="38"/>
      <c r="B395" s="233"/>
      <c r="C395" s="36"/>
      <c r="D395" s="39"/>
      <c r="E395" s="39"/>
      <c r="F395" s="235"/>
      <c r="G395" s="36"/>
      <c r="H395" s="39"/>
      <c r="I395" s="37"/>
      <c r="J395" s="38"/>
      <c r="K395" s="39"/>
      <c r="L395" s="39"/>
      <c r="M395" s="39"/>
      <c r="N395" s="39"/>
      <c r="O395" s="37"/>
      <c r="P395" s="38"/>
      <c r="Q395" s="39"/>
      <c r="R395" s="37"/>
      <c r="S395" s="38"/>
      <c r="T395" s="39"/>
      <c r="U395" s="37"/>
      <c r="V395" s="259"/>
      <c r="W395" s="38"/>
      <c r="X395" s="39"/>
      <c r="Y395" s="39"/>
      <c r="Z395" s="39"/>
      <c r="AA395" s="39"/>
      <c r="AB395" s="37"/>
      <c r="AF395" s="257"/>
      <c r="AG395" s="236"/>
      <c r="AH395" s="237"/>
    </row>
    <row r="396" spans="1:34" ht="15" customHeight="1">
      <c r="A396" s="38"/>
      <c r="B396" s="233"/>
      <c r="C396" s="36"/>
      <c r="D396" s="39"/>
      <c r="E396" s="39"/>
      <c r="F396" s="235"/>
      <c r="G396" s="36"/>
      <c r="H396" s="39"/>
      <c r="I396" s="37"/>
      <c r="J396" s="38"/>
      <c r="K396" s="39"/>
      <c r="L396" s="39"/>
      <c r="M396" s="39"/>
      <c r="N396" s="39"/>
      <c r="O396" s="37"/>
      <c r="P396" s="38"/>
      <c r="Q396" s="39"/>
      <c r="R396" s="37"/>
      <c r="S396" s="38"/>
      <c r="T396" s="39"/>
      <c r="U396" s="37"/>
      <c r="V396" s="259"/>
      <c r="W396" s="38"/>
      <c r="X396" s="39"/>
      <c r="Y396" s="39"/>
      <c r="Z396" s="39"/>
      <c r="AA396" s="39"/>
      <c r="AB396" s="37"/>
      <c r="AF396" s="257"/>
      <c r="AG396" s="236"/>
      <c r="AH396" s="237"/>
    </row>
    <row r="397" spans="1:34" ht="15" customHeight="1">
      <c r="A397" s="38"/>
      <c r="B397" s="233"/>
      <c r="C397" s="36"/>
      <c r="D397" s="39"/>
      <c r="E397" s="39"/>
      <c r="F397" s="235"/>
      <c r="G397" s="36"/>
      <c r="H397" s="39"/>
      <c r="I397" s="37"/>
      <c r="J397" s="38"/>
      <c r="K397" s="39"/>
      <c r="L397" s="39"/>
      <c r="M397" s="39"/>
      <c r="N397" s="39"/>
      <c r="O397" s="37"/>
      <c r="P397" s="38"/>
      <c r="Q397" s="39"/>
      <c r="R397" s="37"/>
      <c r="S397" s="38"/>
      <c r="T397" s="39"/>
      <c r="U397" s="37"/>
      <c r="V397" s="259"/>
      <c r="W397" s="38"/>
      <c r="X397" s="39"/>
      <c r="Y397" s="39"/>
      <c r="Z397" s="39"/>
      <c r="AA397" s="39"/>
      <c r="AB397" s="37"/>
      <c r="AF397" s="257"/>
      <c r="AG397" s="236"/>
      <c r="AH397" s="237"/>
    </row>
    <row r="398" spans="1:34" ht="15" customHeight="1">
      <c r="A398" s="38"/>
      <c r="B398" s="233"/>
      <c r="C398" s="36"/>
      <c r="D398" s="39"/>
      <c r="E398" s="39"/>
      <c r="F398" s="235"/>
      <c r="G398" s="36"/>
      <c r="H398" s="39"/>
      <c r="I398" s="37"/>
      <c r="J398" s="38"/>
      <c r="K398" s="39"/>
      <c r="L398" s="39"/>
      <c r="M398" s="39"/>
      <c r="N398" s="39"/>
      <c r="O398" s="37"/>
      <c r="P398" s="38"/>
      <c r="Q398" s="39"/>
      <c r="R398" s="37"/>
      <c r="S398" s="38"/>
      <c r="T398" s="39"/>
      <c r="U398" s="37"/>
      <c r="V398" s="259"/>
      <c r="W398" s="38"/>
      <c r="X398" s="39"/>
      <c r="Y398" s="39"/>
      <c r="Z398" s="39"/>
      <c r="AA398" s="39"/>
      <c r="AB398" s="37"/>
      <c r="AF398" s="257"/>
      <c r="AG398" s="236"/>
      <c r="AH398" s="237"/>
    </row>
    <row r="399" spans="1:34" ht="15" customHeight="1">
      <c r="A399" s="38"/>
      <c r="B399" s="233"/>
      <c r="C399" s="36"/>
      <c r="D399" s="39"/>
      <c r="E399" s="39"/>
      <c r="F399" s="235"/>
      <c r="G399" s="36"/>
      <c r="H399" s="39"/>
      <c r="I399" s="37"/>
      <c r="J399" s="38"/>
      <c r="K399" s="39"/>
      <c r="L399" s="39"/>
      <c r="M399" s="39"/>
      <c r="N399" s="39"/>
      <c r="O399" s="37"/>
      <c r="P399" s="38"/>
      <c r="Q399" s="39"/>
      <c r="R399" s="37"/>
      <c r="S399" s="38"/>
      <c r="T399" s="39"/>
      <c r="U399" s="37"/>
      <c r="V399" s="259"/>
      <c r="W399" s="38"/>
      <c r="X399" s="39"/>
      <c r="Y399" s="39"/>
      <c r="Z399" s="39"/>
      <c r="AA399" s="39"/>
      <c r="AB399" s="37"/>
      <c r="AF399" s="257"/>
      <c r="AG399" s="236"/>
      <c r="AH399" s="237"/>
    </row>
    <row r="400" spans="1:34" ht="15" customHeight="1">
      <c r="A400" s="38"/>
      <c r="B400" s="233"/>
      <c r="C400" s="36"/>
      <c r="D400" s="39"/>
      <c r="E400" s="39"/>
      <c r="F400" s="235"/>
      <c r="G400" s="36"/>
      <c r="H400" s="39"/>
      <c r="I400" s="37"/>
      <c r="J400" s="38"/>
      <c r="K400" s="39"/>
      <c r="L400" s="39"/>
      <c r="M400" s="39"/>
      <c r="N400" s="39"/>
      <c r="O400" s="37"/>
      <c r="P400" s="38"/>
      <c r="Q400" s="39"/>
      <c r="R400" s="37"/>
      <c r="S400" s="38"/>
      <c r="T400" s="39"/>
      <c r="U400" s="37"/>
      <c r="V400" s="259"/>
      <c r="W400" s="38"/>
      <c r="X400" s="39"/>
      <c r="Y400" s="39"/>
      <c r="Z400" s="39"/>
      <c r="AA400" s="39"/>
      <c r="AB400" s="37"/>
      <c r="AF400" s="257"/>
      <c r="AG400" s="236"/>
      <c r="AH400" s="237"/>
    </row>
    <row r="401" spans="1:34" ht="15" customHeight="1">
      <c r="A401" s="38"/>
      <c r="B401" s="233"/>
      <c r="C401" s="36"/>
      <c r="D401" s="39"/>
      <c r="E401" s="39"/>
      <c r="F401" s="235"/>
      <c r="G401" s="36"/>
      <c r="H401" s="39"/>
      <c r="I401" s="37"/>
      <c r="J401" s="38"/>
      <c r="K401" s="39"/>
      <c r="L401" s="39"/>
      <c r="M401" s="39"/>
      <c r="N401" s="39"/>
      <c r="O401" s="37"/>
      <c r="P401" s="38"/>
      <c r="Q401" s="39"/>
      <c r="R401" s="37"/>
      <c r="S401" s="38"/>
      <c r="T401" s="39"/>
      <c r="U401" s="37"/>
      <c r="V401" s="259"/>
      <c r="W401" s="38"/>
      <c r="X401" s="39"/>
      <c r="Y401" s="39"/>
      <c r="Z401" s="39"/>
      <c r="AA401" s="39"/>
      <c r="AB401" s="37"/>
      <c r="AF401" s="257"/>
      <c r="AG401" s="236"/>
      <c r="AH401" s="237"/>
    </row>
    <row r="402" spans="1:34" ht="15" customHeight="1">
      <c r="A402" s="38"/>
      <c r="B402" s="233"/>
      <c r="C402" s="36"/>
      <c r="D402" s="39"/>
      <c r="E402" s="39"/>
      <c r="F402" s="235"/>
      <c r="G402" s="36"/>
      <c r="H402" s="39"/>
      <c r="I402" s="37"/>
      <c r="J402" s="38"/>
      <c r="K402" s="39"/>
      <c r="L402" s="39"/>
      <c r="M402" s="39"/>
      <c r="N402" s="39"/>
      <c r="O402" s="37"/>
      <c r="P402" s="38"/>
      <c r="Q402" s="39"/>
      <c r="R402" s="37"/>
      <c r="S402" s="38"/>
      <c r="T402" s="39"/>
      <c r="U402" s="37"/>
      <c r="V402" s="259"/>
      <c r="W402" s="38"/>
      <c r="X402" s="39"/>
      <c r="Y402" s="39"/>
      <c r="Z402" s="39"/>
      <c r="AA402" s="39"/>
      <c r="AB402" s="37"/>
      <c r="AF402" s="257"/>
      <c r="AG402" s="236"/>
      <c r="AH402" s="237"/>
    </row>
    <row r="403" spans="1:34" ht="15" customHeight="1">
      <c r="A403" s="38"/>
      <c r="B403" s="233"/>
      <c r="C403" s="36"/>
      <c r="D403" s="39"/>
      <c r="E403" s="39"/>
      <c r="F403" s="235"/>
      <c r="G403" s="36"/>
      <c r="H403" s="39"/>
      <c r="I403" s="37"/>
      <c r="J403" s="38"/>
      <c r="K403" s="39"/>
      <c r="L403" s="39"/>
      <c r="M403" s="39"/>
      <c r="N403" s="39"/>
      <c r="O403" s="37"/>
      <c r="P403" s="38"/>
      <c r="Q403" s="39"/>
      <c r="R403" s="37"/>
      <c r="S403" s="38"/>
      <c r="T403" s="39"/>
      <c r="U403" s="37"/>
      <c r="V403" s="259"/>
      <c r="W403" s="38"/>
      <c r="X403" s="39"/>
      <c r="Y403" s="39"/>
      <c r="Z403" s="39"/>
      <c r="AA403" s="39"/>
      <c r="AB403" s="37"/>
      <c r="AF403" s="257"/>
      <c r="AG403" s="236"/>
      <c r="AH403" s="237"/>
    </row>
    <row r="404" spans="1:34" ht="15" customHeight="1">
      <c r="A404" s="38"/>
      <c r="B404" s="233"/>
      <c r="C404" s="36"/>
      <c r="D404" s="39"/>
      <c r="E404" s="39"/>
      <c r="F404" s="235"/>
      <c r="G404" s="36"/>
      <c r="H404" s="39"/>
      <c r="I404" s="37"/>
      <c r="J404" s="38"/>
      <c r="K404" s="39"/>
      <c r="L404" s="39"/>
      <c r="M404" s="39"/>
      <c r="N404" s="39"/>
      <c r="O404" s="37"/>
      <c r="P404" s="38"/>
      <c r="Q404" s="39"/>
      <c r="R404" s="37"/>
      <c r="S404" s="38"/>
      <c r="T404" s="39"/>
      <c r="U404" s="37"/>
      <c r="V404" s="259"/>
      <c r="W404" s="38"/>
      <c r="X404" s="39"/>
      <c r="Y404" s="39"/>
      <c r="Z404" s="39"/>
      <c r="AA404" s="39"/>
      <c r="AB404" s="37"/>
      <c r="AF404" s="257"/>
      <c r="AG404" s="236"/>
      <c r="AH404" s="237"/>
    </row>
    <row r="405" spans="1:34" ht="15" customHeight="1">
      <c r="A405" s="38"/>
      <c r="B405" s="233"/>
      <c r="C405" s="36"/>
      <c r="D405" s="39"/>
      <c r="E405" s="39"/>
      <c r="F405" s="235"/>
      <c r="G405" s="36"/>
      <c r="H405" s="39"/>
      <c r="I405" s="37"/>
      <c r="J405" s="38"/>
      <c r="K405" s="39"/>
      <c r="L405" s="39"/>
      <c r="M405" s="39"/>
      <c r="N405" s="39"/>
      <c r="O405" s="37"/>
      <c r="P405" s="38"/>
      <c r="Q405" s="39"/>
      <c r="R405" s="37"/>
      <c r="S405" s="38"/>
      <c r="T405" s="39"/>
      <c r="U405" s="37"/>
      <c r="V405" s="259"/>
      <c r="W405" s="38"/>
      <c r="X405" s="39"/>
      <c r="Y405" s="39"/>
      <c r="Z405" s="39"/>
      <c r="AA405" s="39"/>
      <c r="AB405" s="37"/>
      <c r="AF405" s="257"/>
      <c r="AG405" s="236"/>
      <c r="AH405" s="237"/>
    </row>
    <row r="406" spans="1:34" ht="15" customHeight="1">
      <c r="A406" s="38"/>
      <c r="B406" s="233"/>
      <c r="C406" s="36"/>
      <c r="D406" s="39"/>
      <c r="E406" s="39"/>
      <c r="F406" s="235"/>
      <c r="G406" s="36"/>
      <c r="H406" s="39"/>
      <c r="I406" s="37"/>
      <c r="J406" s="38"/>
      <c r="K406" s="39"/>
      <c r="L406" s="39"/>
      <c r="M406" s="39"/>
      <c r="N406" s="39"/>
      <c r="O406" s="37"/>
      <c r="P406" s="38"/>
      <c r="Q406" s="39"/>
      <c r="R406" s="37"/>
      <c r="S406" s="38"/>
      <c r="T406" s="39"/>
      <c r="U406" s="37"/>
      <c r="V406" s="259"/>
      <c r="W406" s="38"/>
      <c r="X406" s="39"/>
      <c r="Y406" s="39"/>
      <c r="Z406" s="39"/>
      <c r="AA406" s="39"/>
      <c r="AB406" s="37"/>
      <c r="AF406" s="257"/>
      <c r="AG406" s="236"/>
      <c r="AH406" s="237"/>
    </row>
    <row r="407" spans="1:34" ht="15" customHeight="1">
      <c r="A407" s="38"/>
      <c r="B407" s="233"/>
      <c r="C407" s="36"/>
      <c r="D407" s="39"/>
      <c r="E407" s="39"/>
      <c r="F407" s="235"/>
      <c r="G407" s="36"/>
      <c r="H407" s="39"/>
      <c r="I407" s="37"/>
      <c r="J407" s="38"/>
      <c r="K407" s="39"/>
      <c r="L407" s="39"/>
      <c r="M407" s="39"/>
      <c r="N407" s="39"/>
      <c r="O407" s="37"/>
      <c r="P407" s="38"/>
      <c r="Q407" s="39"/>
      <c r="R407" s="37"/>
      <c r="S407" s="38"/>
      <c r="T407" s="39"/>
      <c r="U407" s="37"/>
      <c r="V407" s="259"/>
      <c r="W407" s="38"/>
      <c r="X407" s="39"/>
      <c r="Y407" s="39"/>
      <c r="Z407" s="39"/>
      <c r="AA407" s="39"/>
      <c r="AB407" s="37"/>
      <c r="AF407" s="257"/>
      <c r="AG407" s="236"/>
      <c r="AH407" s="237"/>
    </row>
    <row r="408" spans="1:34" ht="15" customHeight="1">
      <c r="A408" s="38"/>
      <c r="B408" s="233"/>
      <c r="C408" s="36"/>
      <c r="D408" s="39"/>
      <c r="E408" s="39"/>
      <c r="F408" s="235"/>
      <c r="G408" s="36"/>
      <c r="H408" s="39"/>
      <c r="I408" s="37"/>
      <c r="J408" s="38"/>
      <c r="K408" s="39"/>
      <c r="L408" s="39"/>
      <c r="M408" s="39"/>
      <c r="N408" s="39"/>
      <c r="O408" s="37"/>
      <c r="P408" s="38"/>
      <c r="Q408" s="39"/>
      <c r="R408" s="37"/>
      <c r="S408" s="38"/>
      <c r="T408" s="39"/>
      <c r="U408" s="37"/>
      <c r="V408" s="259"/>
      <c r="W408" s="38"/>
      <c r="X408" s="39"/>
      <c r="Y408" s="39"/>
      <c r="Z408" s="39"/>
      <c r="AA408" s="39"/>
      <c r="AB408" s="37"/>
      <c r="AF408" s="257"/>
      <c r="AG408" s="236"/>
      <c r="AH408" s="237"/>
    </row>
    <row r="409" spans="1:34" ht="15" customHeight="1">
      <c r="A409" s="38"/>
      <c r="B409" s="233"/>
      <c r="C409" s="36"/>
      <c r="D409" s="39"/>
      <c r="E409" s="39"/>
      <c r="F409" s="235"/>
      <c r="G409" s="36"/>
      <c r="H409" s="39"/>
      <c r="I409" s="37"/>
      <c r="J409" s="38"/>
      <c r="K409" s="39"/>
      <c r="L409" s="39"/>
      <c r="M409" s="39"/>
      <c r="N409" s="39"/>
      <c r="O409" s="37"/>
      <c r="P409" s="38"/>
      <c r="Q409" s="39"/>
      <c r="R409" s="37"/>
      <c r="S409" s="38"/>
      <c r="T409" s="39"/>
      <c r="U409" s="37"/>
      <c r="V409" s="259"/>
      <c r="W409" s="38"/>
      <c r="X409" s="39"/>
      <c r="Y409" s="39"/>
      <c r="Z409" s="39"/>
      <c r="AA409" s="39"/>
      <c r="AB409" s="37"/>
      <c r="AF409" s="257"/>
      <c r="AG409" s="236"/>
      <c r="AH409" s="237"/>
    </row>
    <row r="410" spans="1:34" ht="15" customHeight="1">
      <c r="A410" s="38"/>
      <c r="B410" s="233"/>
      <c r="C410" s="36"/>
      <c r="D410" s="39"/>
      <c r="E410" s="39"/>
      <c r="F410" s="235"/>
      <c r="G410" s="36"/>
      <c r="H410" s="39"/>
      <c r="I410" s="37"/>
      <c r="J410" s="38"/>
      <c r="K410" s="39"/>
      <c r="L410" s="39"/>
      <c r="M410" s="39"/>
      <c r="N410" s="39"/>
      <c r="O410" s="37"/>
      <c r="P410" s="38"/>
      <c r="Q410" s="39"/>
      <c r="R410" s="37"/>
      <c r="S410" s="38"/>
      <c r="T410" s="39"/>
      <c r="U410" s="37"/>
      <c r="V410" s="259"/>
      <c r="W410" s="38"/>
      <c r="X410" s="39"/>
      <c r="Y410" s="39"/>
      <c r="Z410" s="39"/>
      <c r="AA410" s="39"/>
      <c r="AB410" s="37"/>
      <c r="AF410" s="257"/>
      <c r="AG410" s="236"/>
      <c r="AH410" s="237"/>
    </row>
    <row r="411" spans="1:34" ht="15" customHeight="1">
      <c r="A411" s="38"/>
      <c r="B411" s="233"/>
      <c r="C411" s="36"/>
      <c r="D411" s="39"/>
      <c r="E411" s="39"/>
      <c r="F411" s="235"/>
      <c r="G411" s="36"/>
      <c r="H411" s="39"/>
      <c r="I411" s="37"/>
      <c r="J411" s="38"/>
      <c r="K411" s="39"/>
      <c r="L411" s="39"/>
      <c r="M411" s="39"/>
      <c r="N411" s="39"/>
      <c r="O411" s="37"/>
      <c r="P411" s="38"/>
      <c r="Q411" s="39"/>
      <c r="R411" s="37"/>
      <c r="S411" s="38"/>
      <c r="T411" s="39"/>
      <c r="U411" s="37"/>
      <c r="V411" s="259"/>
      <c r="W411" s="38"/>
      <c r="X411" s="39"/>
      <c r="Y411" s="39"/>
      <c r="Z411" s="39"/>
      <c r="AA411" s="39"/>
      <c r="AB411" s="37"/>
      <c r="AF411" s="257"/>
      <c r="AG411" s="236"/>
      <c r="AH411" s="237"/>
    </row>
    <row r="412" spans="1:34" ht="15" customHeight="1">
      <c r="A412" s="38"/>
      <c r="B412" s="233"/>
      <c r="C412" s="36"/>
      <c r="D412" s="39"/>
      <c r="E412" s="39"/>
      <c r="F412" s="235"/>
      <c r="G412" s="36"/>
      <c r="H412" s="39"/>
      <c r="I412" s="37"/>
      <c r="J412" s="38"/>
      <c r="K412" s="39"/>
      <c r="L412" s="39"/>
      <c r="M412" s="39"/>
      <c r="N412" s="39"/>
      <c r="O412" s="37"/>
      <c r="P412" s="38"/>
      <c r="Q412" s="39"/>
      <c r="R412" s="37"/>
      <c r="S412" s="38"/>
      <c r="T412" s="39"/>
      <c r="U412" s="37"/>
      <c r="V412" s="259"/>
      <c r="W412" s="38"/>
      <c r="X412" s="39"/>
      <c r="Y412" s="39"/>
      <c r="Z412" s="39"/>
      <c r="AA412" s="39"/>
      <c r="AB412" s="37"/>
      <c r="AF412" s="257"/>
      <c r="AG412" s="236"/>
      <c r="AH412" s="237"/>
    </row>
    <row r="413" spans="1:34" ht="15" customHeight="1">
      <c r="A413" s="38"/>
      <c r="B413" s="233"/>
      <c r="C413" s="36"/>
      <c r="D413" s="39"/>
      <c r="E413" s="39"/>
      <c r="F413" s="235"/>
      <c r="G413" s="36"/>
      <c r="H413" s="39"/>
      <c r="I413" s="37"/>
      <c r="J413" s="38"/>
      <c r="K413" s="39"/>
      <c r="L413" s="39"/>
      <c r="M413" s="39"/>
      <c r="N413" s="39"/>
      <c r="O413" s="37"/>
      <c r="P413" s="38"/>
      <c r="Q413" s="39"/>
      <c r="R413" s="37"/>
      <c r="S413" s="38"/>
      <c r="T413" s="39"/>
      <c r="U413" s="37"/>
      <c r="V413" s="259"/>
      <c r="W413" s="38"/>
      <c r="X413" s="39"/>
      <c r="Y413" s="39"/>
      <c r="Z413" s="39"/>
      <c r="AA413" s="39"/>
      <c r="AB413" s="37"/>
      <c r="AF413" s="257"/>
      <c r="AG413" s="236"/>
      <c r="AH413" s="237"/>
    </row>
    <row r="414" spans="1:34" ht="15" customHeight="1">
      <c r="A414" s="38"/>
      <c r="B414" s="233"/>
      <c r="C414" s="36"/>
      <c r="D414" s="39"/>
      <c r="E414" s="39"/>
      <c r="F414" s="235"/>
      <c r="G414" s="36"/>
      <c r="H414" s="39"/>
      <c r="I414" s="37"/>
      <c r="J414" s="38"/>
      <c r="K414" s="39"/>
      <c r="L414" s="39"/>
      <c r="M414" s="39"/>
      <c r="N414" s="39"/>
      <c r="O414" s="37"/>
      <c r="P414" s="38"/>
      <c r="Q414" s="39"/>
      <c r="R414" s="37"/>
      <c r="S414" s="38"/>
      <c r="T414" s="39"/>
      <c r="U414" s="37"/>
      <c r="V414" s="259"/>
      <c r="W414" s="38"/>
      <c r="X414" s="39"/>
      <c r="Y414" s="39"/>
      <c r="Z414" s="39"/>
      <c r="AA414" s="39"/>
      <c r="AB414" s="37"/>
      <c r="AF414" s="257"/>
      <c r="AG414" s="236"/>
      <c r="AH414" s="237"/>
    </row>
    <row r="415" spans="1:34" ht="15" customHeight="1">
      <c r="A415" s="38"/>
      <c r="B415" s="233"/>
      <c r="C415" s="36"/>
      <c r="D415" s="39"/>
      <c r="E415" s="39"/>
      <c r="F415" s="235"/>
      <c r="G415" s="36"/>
      <c r="H415" s="39"/>
      <c r="I415" s="37"/>
      <c r="J415" s="38"/>
      <c r="K415" s="39"/>
      <c r="L415" s="39"/>
      <c r="M415" s="39"/>
      <c r="N415" s="39"/>
      <c r="O415" s="37"/>
      <c r="P415" s="38"/>
      <c r="Q415" s="39"/>
      <c r="R415" s="37"/>
      <c r="S415" s="38"/>
      <c r="T415" s="39"/>
      <c r="U415" s="37"/>
      <c r="V415" s="259"/>
      <c r="W415" s="38"/>
      <c r="X415" s="39"/>
      <c r="Y415" s="39"/>
      <c r="Z415" s="39"/>
      <c r="AA415" s="39"/>
      <c r="AB415" s="37"/>
      <c r="AF415" s="257"/>
      <c r="AG415" s="236"/>
      <c r="AH415" s="237"/>
    </row>
    <row r="416" spans="1:34" ht="15" customHeight="1">
      <c r="A416" s="38"/>
      <c r="B416" s="233"/>
      <c r="C416" s="36"/>
      <c r="D416" s="39"/>
      <c r="E416" s="39"/>
      <c r="F416" s="235"/>
      <c r="G416" s="36"/>
      <c r="H416" s="39"/>
      <c r="I416" s="37"/>
      <c r="J416" s="38"/>
      <c r="K416" s="39"/>
      <c r="L416" s="39"/>
      <c r="M416" s="39"/>
      <c r="N416" s="39"/>
      <c r="O416" s="37"/>
      <c r="P416" s="38"/>
      <c r="Q416" s="39"/>
      <c r="R416" s="37"/>
      <c r="S416" s="38"/>
      <c r="T416" s="39"/>
      <c r="U416" s="37"/>
      <c r="V416" s="259"/>
      <c r="W416" s="38"/>
      <c r="X416" s="39"/>
      <c r="Y416" s="39"/>
      <c r="Z416" s="39"/>
      <c r="AA416" s="39"/>
      <c r="AB416" s="37"/>
      <c r="AF416" s="257"/>
      <c r="AG416" s="236"/>
      <c r="AH416" s="237"/>
    </row>
    <row r="417" spans="1:34" ht="15" customHeight="1">
      <c r="A417" s="38"/>
      <c r="B417" s="233"/>
      <c r="C417" s="36"/>
      <c r="D417" s="39"/>
      <c r="E417" s="39"/>
      <c r="F417" s="235"/>
      <c r="G417" s="36"/>
      <c r="H417" s="39"/>
      <c r="I417" s="37"/>
      <c r="J417" s="38"/>
      <c r="K417" s="39"/>
      <c r="L417" s="39"/>
      <c r="M417" s="39"/>
      <c r="N417" s="39"/>
      <c r="O417" s="37"/>
      <c r="P417" s="38"/>
      <c r="Q417" s="39"/>
      <c r="R417" s="37"/>
      <c r="S417" s="38"/>
      <c r="T417" s="39"/>
      <c r="U417" s="37"/>
      <c r="V417" s="259"/>
      <c r="W417" s="38"/>
      <c r="X417" s="39"/>
      <c r="Y417" s="39"/>
      <c r="Z417" s="39"/>
      <c r="AA417" s="39"/>
      <c r="AB417" s="37"/>
      <c r="AF417" s="257"/>
      <c r="AG417" s="236"/>
      <c r="AH417" s="237"/>
    </row>
    <row r="418" spans="1:34" ht="15" customHeight="1">
      <c r="A418" s="38"/>
      <c r="B418" s="233"/>
      <c r="C418" s="36"/>
      <c r="D418" s="39"/>
      <c r="E418" s="39"/>
      <c r="F418" s="235"/>
      <c r="G418" s="36"/>
      <c r="H418" s="39"/>
      <c r="I418" s="37"/>
      <c r="J418" s="38"/>
      <c r="K418" s="39"/>
      <c r="L418" s="39"/>
      <c r="M418" s="39"/>
      <c r="N418" s="39"/>
      <c r="O418" s="37"/>
      <c r="P418" s="38"/>
      <c r="Q418" s="39"/>
      <c r="R418" s="37"/>
      <c r="S418" s="38"/>
      <c r="T418" s="39"/>
      <c r="U418" s="37"/>
      <c r="V418" s="259"/>
      <c r="W418" s="38"/>
      <c r="X418" s="39"/>
      <c r="Y418" s="39"/>
      <c r="Z418" s="39"/>
      <c r="AA418" s="39"/>
      <c r="AB418" s="37"/>
      <c r="AF418" s="257"/>
      <c r="AG418" s="236"/>
      <c r="AH418" s="237"/>
    </row>
    <row r="419" spans="1:34" ht="15" customHeight="1">
      <c r="A419" s="38"/>
      <c r="B419" s="233"/>
      <c r="C419" s="36"/>
      <c r="D419" s="39"/>
      <c r="E419" s="39"/>
      <c r="F419" s="235"/>
      <c r="G419" s="36"/>
      <c r="H419" s="39"/>
      <c r="I419" s="37"/>
      <c r="J419" s="38"/>
      <c r="K419" s="39"/>
      <c r="L419" s="39"/>
      <c r="M419" s="39"/>
      <c r="N419" s="39"/>
      <c r="O419" s="37"/>
      <c r="P419" s="38"/>
      <c r="Q419" s="39"/>
      <c r="R419" s="37"/>
      <c r="S419" s="38"/>
      <c r="T419" s="39"/>
      <c r="U419" s="37"/>
      <c r="V419" s="259"/>
      <c r="W419" s="38"/>
      <c r="X419" s="39"/>
      <c r="Y419" s="39"/>
      <c r="Z419" s="39"/>
      <c r="AA419" s="39"/>
      <c r="AB419" s="37"/>
      <c r="AF419" s="257"/>
      <c r="AG419" s="236"/>
      <c r="AH419" s="237"/>
    </row>
    <row r="420" spans="1:34" ht="15" customHeight="1">
      <c r="A420" s="38"/>
      <c r="B420" s="233"/>
      <c r="C420" s="36"/>
      <c r="D420" s="39"/>
      <c r="E420" s="39"/>
      <c r="F420" s="235"/>
      <c r="G420" s="36"/>
      <c r="H420" s="39"/>
      <c r="I420" s="37"/>
      <c r="J420" s="38"/>
      <c r="K420" s="39"/>
      <c r="L420" s="39"/>
      <c r="M420" s="39"/>
      <c r="N420" s="39"/>
      <c r="O420" s="37"/>
      <c r="P420" s="38"/>
      <c r="Q420" s="39"/>
      <c r="R420" s="37"/>
      <c r="S420" s="38"/>
      <c r="T420" s="39"/>
      <c r="U420" s="37"/>
      <c r="V420" s="259"/>
      <c r="W420" s="38"/>
      <c r="X420" s="39"/>
      <c r="Y420" s="39"/>
      <c r="Z420" s="39"/>
      <c r="AA420" s="39"/>
      <c r="AB420" s="37"/>
      <c r="AF420" s="257"/>
      <c r="AG420" s="236"/>
      <c r="AH420" s="237"/>
    </row>
    <row r="421" spans="1:34" ht="15" customHeight="1">
      <c r="A421" s="38"/>
      <c r="B421" s="233"/>
      <c r="C421" s="36"/>
      <c r="D421" s="39"/>
      <c r="E421" s="39"/>
      <c r="F421" s="235"/>
      <c r="G421" s="36"/>
      <c r="H421" s="39"/>
      <c r="I421" s="37"/>
      <c r="J421" s="38"/>
      <c r="K421" s="39"/>
      <c r="L421" s="39"/>
      <c r="M421" s="39"/>
      <c r="N421" s="39"/>
      <c r="O421" s="37"/>
      <c r="P421" s="38"/>
      <c r="Q421" s="39"/>
      <c r="R421" s="37"/>
      <c r="S421" s="38"/>
      <c r="T421" s="39"/>
      <c r="U421" s="37"/>
      <c r="V421" s="259"/>
      <c r="W421" s="38"/>
      <c r="X421" s="39"/>
      <c r="Y421" s="39"/>
      <c r="Z421" s="39"/>
      <c r="AA421" s="39"/>
      <c r="AB421" s="37"/>
      <c r="AF421" s="257"/>
      <c r="AG421" s="236"/>
      <c r="AH421" s="237"/>
    </row>
    <row r="422" spans="1:34" ht="15" customHeight="1">
      <c r="A422" s="38"/>
      <c r="B422" s="233"/>
      <c r="C422" s="36"/>
      <c r="D422" s="39"/>
      <c r="E422" s="39"/>
      <c r="F422" s="235"/>
      <c r="G422" s="36"/>
      <c r="H422" s="39"/>
      <c r="I422" s="37"/>
      <c r="J422" s="38"/>
      <c r="K422" s="39"/>
      <c r="L422" s="39"/>
      <c r="M422" s="39"/>
      <c r="N422" s="39"/>
      <c r="O422" s="37"/>
      <c r="P422" s="38"/>
      <c r="Q422" s="39"/>
      <c r="R422" s="37"/>
      <c r="S422" s="38"/>
      <c r="T422" s="39"/>
      <c r="U422" s="37"/>
      <c r="V422" s="259"/>
      <c r="W422" s="38"/>
      <c r="X422" s="39"/>
      <c r="Y422" s="39"/>
      <c r="Z422" s="39"/>
      <c r="AA422" s="39"/>
      <c r="AB422" s="37"/>
      <c r="AF422" s="257"/>
      <c r="AG422" s="236"/>
      <c r="AH422" s="237"/>
    </row>
    <row r="423" spans="1:34" ht="15" customHeight="1">
      <c r="A423" s="38"/>
      <c r="B423" s="233"/>
      <c r="C423" s="36"/>
      <c r="D423" s="39"/>
      <c r="E423" s="39"/>
      <c r="F423" s="235"/>
      <c r="G423" s="36"/>
      <c r="H423" s="39"/>
      <c r="I423" s="37"/>
      <c r="J423" s="38"/>
      <c r="K423" s="39"/>
      <c r="L423" s="39"/>
      <c r="M423" s="39"/>
      <c r="N423" s="39"/>
      <c r="O423" s="37"/>
      <c r="P423" s="38"/>
      <c r="Q423" s="39"/>
      <c r="R423" s="37"/>
      <c r="S423" s="38"/>
      <c r="T423" s="39"/>
      <c r="U423" s="37"/>
      <c r="V423" s="259"/>
      <c r="W423" s="38"/>
      <c r="X423" s="39"/>
      <c r="Y423" s="39"/>
      <c r="Z423" s="39"/>
      <c r="AA423" s="39"/>
      <c r="AB423" s="37"/>
      <c r="AF423" s="257"/>
      <c r="AG423" s="236"/>
      <c r="AH423" s="237"/>
    </row>
    <row r="424" spans="1:34" ht="15" customHeight="1">
      <c r="A424" s="38"/>
      <c r="B424" s="233"/>
      <c r="C424" s="36"/>
      <c r="D424" s="39"/>
      <c r="E424" s="39"/>
      <c r="F424" s="235"/>
      <c r="G424" s="36"/>
      <c r="H424" s="39"/>
      <c r="I424" s="37"/>
      <c r="J424" s="38"/>
      <c r="K424" s="39"/>
      <c r="L424" s="39"/>
      <c r="M424" s="39"/>
      <c r="N424" s="39"/>
      <c r="O424" s="37"/>
      <c r="P424" s="38"/>
      <c r="Q424" s="39"/>
      <c r="R424" s="37"/>
      <c r="S424" s="38"/>
      <c r="T424" s="39"/>
      <c r="U424" s="37"/>
      <c r="V424" s="259"/>
      <c r="W424" s="38"/>
      <c r="X424" s="39"/>
      <c r="Y424" s="39"/>
      <c r="Z424" s="39"/>
      <c r="AA424" s="39"/>
      <c r="AB424" s="37"/>
      <c r="AF424" s="257"/>
      <c r="AG424" s="236"/>
      <c r="AH424" s="237"/>
    </row>
    <row r="425" spans="1:34" ht="15" customHeight="1">
      <c r="A425" s="38"/>
      <c r="B425" s="233"/>
      <c r="C425" s="36"/>
      <c r="D425" s="39"/>
      <c r="E425" s="39"/>
      <c r="F425" s="235"/>
      <c r="G425" s="36"/>
      <c r="H425" s="39"/>
      <c r="I425" s="37"/>
      <c r="J425" s="38"/>
      <c r="K425" s="39"/>
      <c r="L425" s="39"/>
      <c r="M425" s="39"/>
      <c r="N425" s="39"/>
      <c r="O425" s="37"/>
      <c r="P425" s="38"/>
      <c r="Q425" s="39"/>
      <c r="R425" s="37"/>
      <c r="S425" s="38"/>
      <c r="T425" s="39"/>
      <c r="U425" s="37"/>
      <c r="V425" s="259"/>
      <c r="W425" s="38"/>
      <c r="X425" s="39"/>
      <c r="Y425" s="39"/>
      <c r="Z425" s="39"/>
      <c r="AA425" s="39"/>
      <c r="AB425" s="37"/>
      <c r="AF425" s="257"/>
      <c r="AG425" s="236"/>
      <c r="AH425" s="237"/>
    </row>
    <row r="426" spans="1:34" ht="15" customHeight="1">
      <c r="A426" s="38"/>
      <c r="B426" s="233"/>
      <c r="C426" s="36"/>
      <c r="D426" s="39"/>
      <c r="E426" s="39"/>
      <c r="F426" s="235"/>
      <c r="G426" s="36"/>
      <c r="H426" s="39"/>
      <c r="I426" s="37"/>
      <c r="J426" s="38"/>
      <c r="K426" s="39"/>
      <c r="L426" s="39"/>
      <c r="M426" s="39"/>
      <c r="N426" s="39"/>
      <c r="O426" s="37"/>
      <c r="P426" s="38"/>
      <c r="Q426" s="39"/>
      <c r="R426" s="37"/>
      <c r="S426" s="38"/>
      <c r="T426" s="39"/>
      <c r="U426" s="37"/>
      <c r="V426" s="259"/>
      <c r="W426" s="38"/>
      <c r="X426" s="39"/>
      <c r="Y426" s="39"/>
      <c r="Z426" s="39"/>
      <c r="AA426" s="39"/>
      <c r="AB426" s="37"/>
      <c r="AF426" s="257"/>
      <c r="AG426" s="236"/>
      <c r="AH426" s="237"/>
    </row>
    <row r="427" spans="1:34" ht="15" customHeight="1">
      <c r="A427" s="38"/>
      <c r="B427" s="233"/>
      <c r="C427" s="36"/>
      <c r="D427" s="39"/>
      <c r="E427" s="39"/>
      <c r="F427" s="235"/>
      <c r="G427" s="36"/>
      <c r="H427" s="39"/>
      <c r="I427" s="37"/>
      <c r="J427" s="38"/>
      <c r="K427" s="39"/>
      <c r="L427" s="39"/>
      <c r="M427" s="39"/>
      <c r="N427" s="39"/>
      <c r="O427" s="37"/>
      <c r="P427" s="38"/>
      <c r="Q427" s="39"/>
      <c r="R427" s="37"/>
      <c r="S427" s="38"/>
      <c r="T427" s="39"/>
      <c r="U427" s="37"/>
      <c r="V427" s="259"/>
      <c r="W427" s="38"/>
      <c r="X427" s="39"/>
      <c r="Y427" s="39"/>
      <c r="Z427" s="39"/>
      <c r="AA427" s="39"/>
      <c r="AB427" s="37"/>
      <c r="AF427" s="257"/>
      <c r="AG427" s="236"/>
      <c r="AH427" s="237"/>
    </row>
    <row r="428" spans="1:34" ht="15" customHeight="1">
      <c r="A428" s="38"/>
      <c r="B428" s="233"/>
      <c r="C428" s="36"/>
      <c r="D428" s="39"/>
      <c r="E428" s="39"/>
      <c r="F428" s="235"/>
      <c r="G428" s="36"/>
      <c r="H428" s="39"/>
      <c r="I428" s="37"/>
      <c r="J428" s="38"/>
      <c r="K428" s="39"/>
      <c r="L428" s="39"/>
      <c r="M428" s="39"/>
      <c r="N428" s="39"/>
      <c r="O428" s="37"/>
      <c r="P428" s="38"/>
      <c r="Q428" s="39"/>
      <c r="R428" s="37"/>
      <c r="S428" s="38"/>
      <c r="T428" s="39"/>
      <c r="U428" s="37"/>
      <c r="V428" s="259"/>
      <c r="W428" s="38"/>
      <c r="X428" s="39"/>
      <c r="Y428" s="39"/>
      <c r="Z428" s="39"/>
      <c r="AA428" s="39"/>
      <c r="AB428" s="37"/>
      <c r="AF428" s="257"/>
      <c r="AG428" s="236"/>
      <c r="AH428" s="237"/>
    </row>
    <row r="429" spans="1:34" ht="15" customHeight="1">
      <c r="A429" s="38"/>
      <c r="B429" s="233"/>
      <c r="C429" s="36"/>
      <c r="D429" s="39"/>
      <c r="E429" s="39"/>
      <c r="F429" s="235"/>
      <c r="G429" s="36"/>
      <c r="H429" s="39"/>
      <c r="I429" s="37"/>
      <c r="J429" s="38"/>
      <c r="K429" s="39"/>
      <c r="L429" s="39"/>
      <c r="M429" s="39"/>
      <c r="N429" s="39"/>
      <c r="O429" s="37"/>
      <c r="P429" s="38"/>
      <c r="Q429" s="39"/>
      <c r="R429" s="37"/>
      <c r="S429" s="38"/>
      <c r="T429" s="39"/>
      <c r="U429" s="37"/>
      <c r="V429" s="259"/>
      <c r="W429" s="38"/>
      <c r="X429" s="39"/>
      <c r="Y429" s="39"/>
      <c r="Z429" s="39"/>
      <c r="AA429" s="39"/>
      <c r="AB429" s="37"/>
      <c r="AF429" s="257"/>
      <c r="AG429" s="236"/>
      <c r="AH429" s="237"/>
    </row>
    <row r="430" spans="1:34" ht="15" customHeight="1">
      <c r="A430" s="38"/>
      <c r="B430" s="233"/>
      <c r="C430" s="36"/>
      <c r="D430" s="39"/>
      <c r="E430" s="39"/>
      <c r="F430" s="235"/>
      <c r="G430" s="36"/>
      <c r="H430" s="39"/>
      <c r="I430" s="37"/>
      <c r="J430" s="38"/>
      <c r="K430" s="39"/>
      <c r="L430" s="39"/>
      <c r="M430" s="39"/>
      <c r="N430" s="39"/>
      <c r="O430" s="37"/>
      <c r="P430" s="38"/>
      <c r="Q430" s="39"/>
      <c r="R430" s="37"/>
      <c r="S430" s="38"/>
      <c r="T430" s="39"/>
      <c r="U430" s="37"/>
      <c r="V430" s="259"/>
      <c r="W430" s="38"/>
      <c r="X430" s="39"/>
      <c r="Y430" s="39"/>
      <c r="Z430" s="39"/>
      <c r="AA430" s="39"/>
      <c r="AB430" s="37"/>
      <c r="AF430" s="257"/>
      <c r="AG430" s="236"/>
      <c r="AH430" s="237"/>
    </row>
    <row r="431" spans="1:34" ht="15" customHeight="1">
      <c r="A431" s="38"/>
      <c r="B431" s="233"/>
      <c r="C431" s="36"/>
      <c r="D431" s="39"/>
      <c r="E431" s="39"/>
      <c r="F431" s="235"/>
      <c r="G431" s="36"/>
      <c r="H431" s="39"/>
      <c r="I431" s="37"/>
      <c r="J431" s="38"/>
      <c r="K431" s="39"/>
      <c r="L431" s="39"/>
      <c r="M431" s="39"/>
      <c r="N431" s="39"/>
      <c r="O431" s="37"/>
      <c r="P431" s="38"/>
      <c r="Q431" s="39"/>
      <c r="R431" s="37"/>
      <c r="S431" s="38"/>
      <c r="T431" s="39"/>
      <c r="U431" s="37"/>
      <c r="V431" s="259"/>
      <c r="W431" s="38"/>
      <c r="X431" s="39"/>
      <c r="Y431" s="39"/>
      <c r="Z431" s="39"/>
      <c r="AA431" s="39"/>
      <c r="AB431" s="37"/>
      <c r="AF431" s="257"/>
      <c r="AG431" s="236"/>
      <c r="AH431" s="237"/>
    </row>
    <row r="432" spans="1:34" ht="15" customHeight="1">
      <c r="A432" s="38"/>
      <c r="B432" s="233"/>
      <c r="C432" s="36"/>
      <c r="D432" s="39"/>
      <c r="E432" s="39"/>
      <c r="F432" s="235"/>
      <c r="G432" s="36"/>
      <c r="H432" s="39"/>
      <c r="I432" s="37"/>
      <c r="J432" s="38"/>
      <c r="K432" s="39"/>
      <c r="L432" s="39"/>
      <c r="M432" s="39"/>
      <c r="N432" s="39"/>
      <c r="O432" s="37"/>
      <c r="P432" s="38"/>
      <c r="Q432" s="39"/>
      <c r="R432" s="37"/>
      <c r="S432" s="38"/>
      <c r="T432" s="39"/>
      <c r="U432" s="37"/>
      <c r="V432" s="259"/>
      <c r="W432" s="38"/>
      <c r="X432" s="39"/>
      <c r="Y432" s="39"/>
      <c r="Z432" s="39"/>
      <c r="AA432" s="39"/>
      <c r="AB432" s="37"/>
      <c r="AF432" s="257"/>
      <c r="AG432" s="236"/>
      <c r="AH432" s="237"/>
    </row>
    <row r="433" spans="1:34" ht="15" customHeight="1">
      <c r="A433" s="38"/>
      <c r="B433" s="233"/>
      <c r="C433" s="36"/>
      <c r="D433" s="39"/>
      <c r="E433" s="39"/>
      <c r="F433" s="235"/>
      <c r="G433" s="36"/>
      <c r="H433" s="39"/>
      <c r="I433" s="37"/>
      <c r="J433" s="38"/>
      <c r="K433" s="39"/>
      <c r="L433" s="39"/>
      <c r="M433" s="39"/>
      <c r="N433" s="39"/>
      <c r="O433" s="37"/>
      <c r="P433" s="38"/>
      <c r="Q433" s="39"/>
      <c r="R433" s="37"/>
      <c r="S433" s="38"/>
      <c r="T433" s="39"/>
      <c r="U433" s="37"/>
      <c r="V433" s="259"/>
      <c r="W433" s="38"/>
      <c r="X433" s="39"/>
      <c r="Y433" s="39"/>
      <c r="Z433" s="39"/>
      <c r="AA433" s="39"/>
      <c r="AB433" s="37"/>
      <c r="AF433" s="257"/>
      <c r="AG433" s="236"/>
      <c r="AH433" s="237"/>
    </row>
    <row r="434" spans="1:34" ht="15" customHeight="1">
      <c r="A434" s="38"/>
      <c r="B434" s="233"/>
      <c r="C434" s="36"/>
      <c r="D434" s="39"/>
      <c r="E434" s="39"/>
      <c r="F434" s="235"/>
      <c r="G434" s="36"/>
      <c r="H434" s="39"/>
      <c r="I434" s="37"/>
      <c r="J434" s="38"/>
      <c r="K434" s="39"/>
      <c r="L434" s="39"/>
      <c r="M434" s="39"/>
      <c r="N434" s="39"/>
      <c r="O434" s="37"/>
      <c r="P434" s="38"/>
      <c r="Q434" s="39"/>
      <c r="R434" s="37"/>
      <c r="S434" s="38"/>
      <c r="T434" s="39"/>
      <c r="U434" s="37"/>
      <c r="V434" s="259"/>
      <c r="W434" s="38"/>
      <c r="X434" s="39"/>
      <c r="Y434" s="39"/>
      <c r="Z434" s="39"/>
      <c r="AA434" s="39"/>
      <c r="AB434" s="37"/>
      <c r="AF434" s="257"/>
      <c r="AG434" s="236"/>
      <c r="AH434" s="237"/>
    </row>
    <row r="435" spans="1:34" ht="15" customHeight="1">
      <c r="A435" s="38"/>
      <c r="B435" s="233"/>
      <c r="C435" s="36"/>
      <c r="D435" s="39"/>
      <c r="E435" s="39"/>
      <c r="F435" s="235"/>
      <c r="G435" s="36"/>
      <c r="H435" s="39"/>
      <c r="I435" s="37"/>
      <c r="J435" s="38"/>
      <c r="K435" s="39"/>
      <c r="L435" s="39"/>
      <c r="M435" s="39"/>
      <c r="N435" s="39"/>
      <c r="O435" s="37"/>
      <c r="P435" s="38"/>
      <c r="Q435" s="39"/>
      <c r="R435" s="37"/>
      <c r="S435" s="38"/>
      <c r="T435" s="39"/>
      <c r="U435" s="37"/>
      <c r="V435" s="259"/>
      <c r="W435" s="38"/>
      <c r="X435" s="39"/>
      <c r="Y435" s="39"/>
      <c r="Z435" s="39"/>
      <c r="AA435" s="39"/>
      <c r="AB435" s="37"/>
      <c r="AF435" s="257"/>
      <c r="AG435" s="236"/>
      <c r="AH435" s="237"/>
    </row>
    <row r="436" spans="1:34" ht="15" customHeight="1">
      <c r="A436" s="38"/>
      <c r="B436" s="233"/>
      <c r="C436" s="36"/>
      <c r="D436" s="39"/>
      <c r="E436" s="39"/>
      <c r="F436" s="235"/>
      <c r="G436" s="36"/>
      <c r="H436" s="39"/>
      <c r="I436" s="37"/>
      <c r="J436" s="38"/>
      <c r="K436" s="39"/>
      <c r="L436" s="39"/>
      <c r="M436" s="39"/>
      <c r="N436" s="39"/>
      <c r="O436" s="37"/>
      <c r="P436" s="38"/>
      <c r="Q436" s="39"/>
      <c r="R436" s="37"/>
      <c r="S436" s="38"/>
      <c r="T436" s="39"/>
      <c r="U436" s="37"/>
      <c r="V436" s="259"/>
      <c r="W436" s="38"/>
      <c r="X436" s="39"/>
      <c r="Y436" s="39"/>
      <c r="Z436" s="39"/>
      <c r="AA436" s="39"/>
      <c r="AB436" s="37"/>
      <c r="AF436" s="257"/>
      <c r="AG436" s="236"/>
      <c r="AH436" s="237"/>
    </row>
    <row r="437" spans="1:34" ht="15" customHeight="1">
      <c r="A437" s="38"/>
      <c r="B437" s="233"/>
      <c r="C437" s="36"/>
      <c r="D437" s="39"/>
      <c r="E437" s="39"/>
      <c r="F437" s="235"/>
      <c r="G437" s="36"/>
      <c r="H437" s="39"/>
      <c r="I437" s="37"/>
      <c r="J437" s="38"/>
      <c r="K437" s="39"/>
      <c r="L437" s="39"/>
      <c r="M437" s="39"/>
      <c r="N437" s="39"/>
      <c r="O437" s="37"/>
      <c r="P437" s="38"/>
      <c r="Q437" s="39"/>
      <c r="R437" s="37"/>
      <c r="S437" s="38"/>
      <c r="T437" s="39"/>
      <c r="U437" s="37"/>
      <c r="V437" s="259"/>
      <c r="W437" s="38"/>
      <c r="X437" s="39"/>
      <c r="Y437" s="39"/>
      <c r="Z437" s="39"/>
      <c r="AA437" s="39"/>
      <c r="AB437" s="37"/>
      <c r="AF437" s="257"/>
      <c r="AG437" s="236"/>
      <c r="AH437" s="237"/>
    </row>
    <row r="438" spans="1:34" ht="15" customHeight="1">
      <c r="A438" s="38"/>
      <c r="B438" s="233"/>
      <c r="C438" s="36"/>
      <c r="D438" s="39"/>
      <c r="E438" s="39"/>
      <c r="F438" s="235"/>
      <c r="G438" s="36"/>
      <c r="H438" s="39"/>
      <c r="I438" s="37"/>
      <c r="J438" s="38"/>
      <c r="K438" s="39"/>
      <c r="L438" s="39"/>
      <c r="M438" s="39"/>
      <c r="N438" s="39"/>
      <c r="O438" s="37"/>
      <c r="P438" s="38"/>
      <c r="Q438" s="39"/>
      <c r="R438" s="37"/>
      <c r="S438" s="38"/>
      <c r="T438" s="39"/>
      <c r="U438" s="37"/>
      <c r="V438" s="259"/>
      <c r="W438" s="38"/>
      <c r="X438" s="39"/>
      <c r="Y438" s="39"/>
      <c r="Z438" s="39"/>
      <c r="AA438" s="39"/>
      <c r="AB438" s="37"/>
      <c r="AF438" s="257"/>
      <c r="AG438" s="236"/>
      <c r="AH438" s="237"/>
    </row>
    <row r="439" spans="1:34" ht="15" customHeight="1">
      <c r="A439" s="38"/>
      <c r="B439" s="233"/>
      <c r="C439" s="36"/>
      <c r="D439" s="39"/>
      <c r="E439" s="39"/>
      <c r="F439" s="235"/>
      <c r="G439" s="36"/>
      <c r="H439" s="39"/>
      <c r="I439" s="37"/>
      <c r="J439" s="38"/>
      <c r="K439" s="39"/>
      <c r="L439" s="39"/>
      <c r="M439" s="39"/>
      <c r="N439" s="39"/>
      <c r="O439" s="37"/>
      <c r="P439" s="38"/>
      <c r="Q439" s="39"/>
      <c r="R439" s="37"/>
      <c r="S439" s="38"/>
      <c r="T439" s="39"/>
      <c r="U439" s="37"/>
      <c r="V439" s="259"/>
      <c r="W439" s="38"/>
      <c r="X439" s="39"/>
      <c r="Y439" s="39"/>
      <c r="Z439" s="39"/>
      <c r="AA439" s="39"/>
      <c r="AB439" s="37"/>
      <c r="AF439" s="257"/>
      <c r="AG439" s="236"/>
      <c r="AH439" s="237"/>
    </row>
    <row r="440" spans="1:34" ht="15" customHeight="1">
      <c r="A440" s="38"/>
      <c r="B440" s="233"/>
      <c r="C440" s="36"/>
      <c r="D440" s="39"/>
      <c r="E440" s="39"/>
      <c r="F440" s="235"/>
      <c r="G440" s="36"/>
      <c r="H440" s="39"/>
      <c r="I440" s="37"/>
      <c r="J440" s="38"/>
      <c r="K440" s="39"/>
      <c r="L440" s="39"/>
      <c r="M440" s="39"/>
      <c r="N440" s="39"/>
      <c r="O440" s="37"/>
      <c r="P440" s="38"/>
      <c r="Q440" s="39"/>
      <c r="R440" s="37"/>
      <c r="S440" s="38"/>
      <c r="T440" s="39"/>
      <c r="U440" s="37"/>
      <c r="V440" s="259"/>
      <c r="W440" s="38"/>
      <c r="X440" s="39"/>
      <c r="Y440" s="39"/>
      <c r="Z440" s="39"/>
      <c r="AA440" s="39"/>
      <c r="AB440" s="37"/>
      <c r="AF440" s="257"/>
      <c r="AG440" s="236"/>
      <c r="AH440" s="237"/>
    </row>
    <row r="441" spans="1:34" ht="15" customHeight="1">
      <c r="A441" s="38"/>
      <c r="B441" s="233"/>
      <c r="C441" s="36"/>
      <c r="D441" s="39"/>
      <c r="E441" s="39"/>
      <c r="F441" s="235"/>
      <c r="G441" s="36"/>
      <c r="H441" s="39"/>
      <c r="I441" s="37"/>
      <c r="J441" s="38"/>
      <c r="K441" s="39"/>
      <c r="L441" s="39"/>
      <c r="M441" s="39"/>
      <c r="N441" s="39"/>
      <c r="O441" s="37"/>
      <c r="P441" s="38"/>
      <c r="Q441" s="39"/>
      <c r="R441" s="37"/>
      <c r="S441" s="38"/>
      <c r="T441" s="39"/>
      <c r="U441" s="37"/>
      <c r="V441" s="259"/>
      <c r="W441" s="38"/>
      <c r="X441" s="39"/>
      <c r="Y441" s="39"/>
      <c r="Z441" s="39"/>
      <c r="AA441" s="39"/>
      <c r="AB441" s="37"/>
      <c r="AF441" s="257"/>
      <c r="AG441" s="236"/>
      <c r="AH441" s="237"/>
    </row>
    <row r="442" spans="1:34" ht="15" customHeight="1">
      <c r="A442" s="38"/>
      <c r="B442" s="233"/>
      <c r="C442" s="36"/>
      <c r="D442" s="39"/>
      <c r="E442" s="39"/>
      <c r="F442" s="235"/>
      <c r="G442" s="36"/>
      <c r="H442" s="39"/>
      <c r="I442" s="37"/>
      <c r="J442" s="38"/>
      <c r="K442" s="39"/>
      <c r="L442" s="39"/>
      <c r="M442" s="39"/>
      <c r="N442" s="39"/>
      <c r="O442" s="37"/>
      <c r="P442" s="38"/>
      <c r="Q442" s="39"/>
      <c r="R442" s="37"/>
      <c r="S442" s="38"/>
      <c r="T442" s="39"/>
      <c r="U442" s="37"/>
      <c r="V442" s="259"/>
      <c r="W442" s="38"/>
      <c r="X442" s="39"/>
      <c r="Y442" s="39"/>
      <c r="Z442" s="39"/>
      <c r="AA442" s="39"/>
      <c r="AB442" s="37"/>
      <c r="AF442" s="257"/>
      <c r="AG442" s="236"/>
      <c r="AH442" s="237"/>
    </row>
    <row r="443" spans="1:34" ht="15" customHeight="1">
      <c r="A443" s="38"/>
      <c r="B443" s="233"/>
      <c r="C443" s="36"/>
      <c r="D443" s="39"/>
      <c r="E443" s="39"/>
      <c r="F443" s="235"/>
      <c r="G443" s="36"/>
      <c r="H443" s="39"/>
      <c r="I443" s="37"/>
      <c r="J443" s="38"/>
      <c r="K443" s="39"/>
      <c r="L443" s="39"/>
      <c r="M443" s="39"/>
      <c r="N443" s="39"/>
      <c r="O443" s="37"/>
      <c r="P443" s="38"/>
      <c r="Q443" s="39"/>
      <c r="R443" s="37"/>
      <c r="S443" s="38"/>
      <c r="T443" s="39"/>
      <c r="U443" s="37"/>
      <c r="V443" s="259"/>
      <c r="W443" s="38"/>
      <c r="X443" s="39"/>
      <c r="Y443" s="39"/>
      <c r="Z443" s="39"/>
      <c r="AA443" s="39"/>
      <c r="AB443" s="37"/>
      <c r="AF443" s="257"/>
      <c r="AG443" s="236"/>
      <c r="AH443" s="237"/>
    </row>
    <row r="444" spans="1:34" ht="15" customHeight="1">
      <c r="A444" s="38"/>
      <c r="B444" s="233"/>
      <c r="C444" s="36"/>
      <c r="D444" s="39"/>
      <c r="E444" s="39"/>
      <c r="F444" s="235"/>
      <c r="G444" s="36"/>
      <c r="H444" s="39"/>
      <c r="I444" s="37"/>
      <c r="J444" s="38"/>
      <c r="K444" s="39"/>
      <c r="L444" s="39"/>
      <c r="M444" s="39"/>
      <c r="N444" s="39"/>
      <c r="O444" s="37"/>
      <c r="P444" s="38"/>
      <c r="Q444" s="39"/>
      <c r="R444" s="37"/>
      <c r="S444" s="38"/>
      <c r="T444" s="39"/>
      <c r="U444" s="37"/>
      <c r="V444" s="259"/>
      <c r="W444" s="38"/>
      <c r="X444" s="39"/>
      <c r="Y444" s="39"/>
      <c r="Z444" s="39"/>
      <c r="AA444" s="39"/>
      <c r="AB444" s="37"/>
      <c r="AF444" s="257"/>
      <c r="AG444" s="236"/>
      <c r="AH444" s="237"/>
    </row>
    <row r="445" spans="1:34" ht="15" customHeight="1">
      <c r="A445" s="38"/>
      <c r="B445" s="233"/>
      <c r="C445" s="36"/>
      <c r="D445" s="39"/>
      <c r="E445" s="39"/>
      <c r="F445" s="235"/>
      <c r="G445" s="36"/>
      <c r="H445" s="39"/>
      <c r="I445" s="37"/>
      <c r="J445" s="38"/>
      <c r="K445" s="39"/>
      <c r="L445" s="39"/>
      <c r="M445" s="39"/>
      <c r="N445" s="39"/>
      <c r="O445" s="37"/>
      <c r="P445" s="38"/>
      <c r="Q445" s="39"/>
      <c r="R445" s="37"/>
      <c r="S445" s="38"/>
      <c r="T445" s="39"/>
      <c r="U445" s="37"/>
      <c r="V445" s="259"/>
      <c r="W445" s="38"/>
      <c r="X445" s="39"/>
      <c r="Y445" s="39"/>
      <c r="Z445" s="39"/>
      <c r="AA445" s="39"/>
      <c r="AB445" s="37"/>
      <c r="AF445" s="257"/>
      <c r="AG445" s="236"/>
      <c r="AH445" s="237"/>
    </row>
    <row r="446" spans="1:34" ht="15" customHeight="1">
      <c r="A446" s="38"/>
      <c r="B446" s="233"/>
      <c r="C446" s="36"/>
      <c r="D446" s="39"/>
      <c r="E446" s="39"/>
      <c r="F446" s="235"/>
      <c r="G446" s="36"/>
      <c r="H446" s="39"/>
      <c r="I446" s="37"/>
      <c r="J446" s="38"/>
      <c r="K446" s="39"/>
      <c r="L446" s="39"/>
      <c r="M446" s="39"/>
      <c r="N446" s="39"/>
      <c r="O446" s="37"/>
      <c r="P446" s="38"/>
      <c r="Q446" s="39"/>
      <c r="R446" s="37"/>
      <c r="S446" s="38"/>
      <c r="T446" s="39"/>
      <c r="U446" s="37"/>
      <c r="V446" s="259"/>
      <c r="W446" s="38"/>
      <c r="X446" s="39"/>
      <c r="Y446" s="39"/>
      <c r="Z446" s="39"/>
      <c r="AA446" s="39"/>
      <c r="AB446" s="37"/>
      <c r="AF446" s="257"/>
      <c r="AG446" s="236"/>
      <c r="AH446" s="237"/>
    </row>
    <row r="447" spans="1:34" ht="15" customHeight="1">
      <c r="A447" s="38"/>
      <c r="B447" s="233"/>
      <c r="C447" s="36"/>
      <c r="D447" s="39"/>
      <c r="E447" s="39"/>
      <c r="F447" s="235"/>
      <c r="G447" s="36"/>
      <c r="H447" s="39"/>
      <c r="I447" s="37"/>
      <c r="J447" s="38"/>
      <c r="K447" s="39"/>
      <c r="L447" s="39"/>
      <c r="M447" s="39"/>
      <c r="N447" s="39"/>
      <c r="O447" s="37"/>
      <c r="P447" s="38"/>
      <c r="Q447" s="39"/>
      <c r="R447" s="37"/>
      <c r="S447" s="38"/>
      <c r="T447" s="39"/>
      <c r="U447" s="37"/>
      <c r="V447" s="259"/>
      <c r="W447" s="38"/>
      <c r="X447" s="39"/>
      <c r="Y447" s="39"/>
      <c r="Z447" s="39"/>
      <c r="AA447" s="39"/>
      <c r="AB447" s="37"/>
      <c r="AF447" s="257"/>
      <c r="AG447" s="236"/>
      <c r="AH447" s="237"/>
    </row>
    <row r="448" spans="1:34" ht="15" customHeight="1">
      <c r="A448" s="38"/>
      <c r="B448" s="233"/>
      <c r="C448" s="36"/>
      <c r="D448" s="39"/>
      <c r="E448" s="39"/>
      <c r="F448" s="235"/>
      <c r="G448" s="36"/>
      <c r="H448" s="39"/>
      <c r="I448" s="37"/>
      <c r="J448" s="38"/>
      <c r="K448" s="39"/>
      <c r="L448" s="39"/>
      <c r="M448" s="39"/>
      <c r="N448" s="39"/>
      <c r="O448" s="37"/>
      <c r="P448" s="38"/>
      <c r="Q448" s="39"/>
      <c r="R448" s="37"/>
      <c r="S448" s="38"/>
      <c r="T448" s="39"/>
      <c r="U448" s="37"/>
      <c r="V448" s="259"/>
      <c r="W448" s="38"/>
      <c r="X448" s="39"/>
      <c r="Y448" s="39"/>
      <c r="Z448" s="39"/>
      <c r="AA448" s="39"/>
      <c r="AB448" s="37"/>
      <c r="AF448" s="257"/>
      <c r="AG448" s="236"/>
      <c r="AH448" s="237"/>
    </row>
    <row r="449" spans="1:34" ht="15" customHeight="1">
      <c r="A449" s="38"/>
      <c r="B449" s="233"/>
      <c r="C449" s="36"/>
      <c r="D449" s="39"/>
      <c r="E449" s="39"/>
      <c r="F449" s="235"/>
      <c r="G449" s="36"/>
      <c r="H449" s="39"/>
      <c r="I449" s="37"/>
      <c r="J449" s="38"/>
      <c r="K449" s="39"/>
      <c r="L449" s="39"/>
      <c r="M449" s="39"/>
      <c r="N449" s="39"/>
      <c r="O449" s="37"/>
      <c r="P449" s="38"/>
      <c r="Q449" s="39"/>
      <c r="R449" s="37"/>
      <c r="S449" s="38"/>
      <c r="T449" s="39"/>
      <c r="U449" s="37"/>
      <c r="V449" s="259"/>
      <c r="W449" s="38"/>
      <c r="X449" s="39"/>
      <c r="Y449" s="39"/>
      <c r="Z449" s="39"/>
      <c r="AA449" s="39"/>
      <c r="AB449" s="37"/>
      <c r="AF449" s="257"/>
      <c r="AG449" s="236"/>
      <c r="AH449" s="237"/>
    </row>
    <row r="450" spans="1:34" ht="15" customHeight="1">
      <c r="A450" s="38"/>
      <c r="B450" s="233"/>
      <c r="C450" s="36"/>
      <c r="D450" s="39"/>
      <c r="E450" s="39"/>
      <c r="F450" s="235"/>
      <c r="G450" s="36"/>
      <c r="H450" s="39"/>
      <c r="I450" s="37"/>
      <c r="J450" s="38"/>
      <c r="K450" s="39"/>
      <c r="L450" s="39"/>
      <c r="M450" s="39"/>
      <c r="N450" s="39"/>
      <c r="O450" s="37"/>
      <c r="P450" s="38"/>
      <c r="Q450" s="39"/>
      <c r="R450" s="37"/>
      <c r="S450" s="38"/>
      <c r="T450" s="39"/>
      <c r="U450" s="37"/>
      <c r="V450" s="259"/>
      <c r="W450" s="38"/>
      <c r="X450" s="39"/>
      <c r="Y450" s="39"/>
      <c r="Z450" s="39"/>
      <c r="AA450" s="39"/>
      <c r="AB450" s="37"/>
      <c r="AF450" s="257"/>
      <c r="AG450" s="236"/>
      <c r="AH450" s="237"/>
    </row>
    <row r="451" spans="1:34" ht="15" customHeight="1">
      <c r="A451" s="38"/>
      <c r="B451" s="233"/>
      <c r="C451" s="36"/>
      <c r="D451" s="39"/>
      <c r="E451" s="39"/>
      <c r="F451" s="235"/>
      <c r="G451" s="36"/>
      <c r="H451" s="39"/>
      <c r="I451" s="37"/>
      <c r="J451" s="38"/>
      <c r="K451" s="39"/>
      <c r="L451" s="39"/>
      <c r="M451" s="39"/>
      <c r="N451" s="39"/>
      <c r="O451" s="37"/>
      <c r="P451" s="38"/>
      <c r="Q451" s="39"/>
      <c r="R451" s="37"/>
      <c r="S451" s="38"/>
      <c r="T451" s="39"/>
      <c r="U451" s="37"/>
      <c r="V451" s="259"/>
      <c r="W451" s="38"/>
      <c r="X451" s="39"/>
      <c r="Y451" s="39"/>
      <c r="Z451" s="39"/>
      <c r="AA451" s="39"/>
      <c r="AB451" s="37"/>
      <c r="AF451" s="257"/>
      <c r="AG451" s="236"/>
      <c r="AH451" s="237"/>
    </row>
    <row r="452" spans="1:34" ht="15" customHeight="1">
      <c r="A452" s="38"/>
      <c r="B452" s="233"/>
      <c r="C452" s="36"/>
      <c r="D452" s="39"/>
      <c r="E452" s="39"/>
      <c r="F452" s="235"/>
      <c r="G452" s="36"/>
      <c r="H452" s="39"/>
      <c r="I452" s="37"/>
      <c r="J452" s="38"/>
      <c r="K452" s="39"/>
      <c r="L452" s="39"/>
      <c r="M452" s="39"/>
      <c r="N452" s="39"/>
      <c r="O452" s="37"/>
      <c r="P452" s="38"/>
      <c r="Q452" s="39"/>
      <c r="R452" s="37"/>
      <c r="S452" s="38"/>
      <c r="T452" s="39"/>
      <c r="U452" s="37"/>
      <c r="V452" s="259"/>
      <c r="W452" s="38"/>
      <c r="X452" s="39"/>
      <c r="Y452" s="39"/>
      <c r="Z452" s="39"/>
      <c r="AA452" s="39"/>
      <c r="AB452" s="37"/>
      <c r="AF452" s="257"/>
      <c r="AG452" s="236"/>
      <c r="AH452" s="237"/>
    </row>
    <row r="453" spans="1:34" ht="15" customHeight="1">
      <c r="A453" s="38"/>
      <c r="B453" s="233"/>
      <c r="C453" s="36"/>
      <c r="D453" s="39"/>
      <c r="E453" s="39"/>
      <c r="F453" s="235"/>
      <c r="G453" s="36"/>
      <c r="H453" s="39"/>
      <c r="I453" s="37"/>
      <c r="J453" s="38"/>
      <c r="K453" s="39"/>
      <c r="L453" s="39"/>
      <c r="M453" s="39"/>
      <c r="N453" s="39"/>
      <c r="O453" s="37"/>
      <c r="P453" s="38"/>
      <c r="Q453" s="39"/>
      <c r="R453" s="37"/>
      <c r="S453" s="38"/>
      <c r="T453" s="39"/>
      <c r="U453" s="37"/>
      <c r="V453" s="259"/>
      <c r="W453" s="38"/>
      <c r="X453" s="39"/>
      <c r="Y453" s="39"/>
      <c r="Z453" s="39"/>
      <c r="AA453" s="39"/>
      <c r="AB453" s="37"/>
      <c r="AF453" s="257"/>
      <c r="AG453" s="236"/>
      <c r="AH453" s="237"/>
    </row>
    <row r="454" spans="1:34" ht="15" customHeight="1">
      <c r="A454" s="38"/>
      <c r="B454" s="233"/>
      <c r="C454" s="36"/>
      <c r="D454" s="39"/>
      <c r="E454" s="39"/>
      <c r="F454" s="235"/>
      <c r="G454" s="36"/>
      <c r="H454" s="39"/>
      <c r="I454" s="37"/>
      <c r="J454" s="38"/>
      <c r="K454" s="39"/>
      <c r="L454" s="39"/>
      <c r="M454" s="39"/>
      <c r="N454" s="39"/>
      <c r="O454" s="37"/>
      <c r="P454" s="38"/>
      <c r="Q454" s="39"/>
      <c r="R454" s="37"/>
      <c r="S454" s="38"/>
      <c r="T454" s="39"/>
      <c r="U454" s="37"/>
      <c r="V454" s="259"/>
      <c r="W454" s="38"/>
      <c r="X454" s="39"/>
      <c r="Y454" s="39"/>
      <c r="Z454" s="39"/>
      <c r="AA454" s="39"/>
      <c r="AB454" s="37"/>
      <c r="AF454" s="257"/>
      <c r="AG454" s="236"/>
      <c r="AH454" s="237"/>
    </row>
    <row r="455" spans="1:34" ht="15" customHeight="1">
      <c r="A455" s="38"/>
      <c r="B455" s="233"/>
      <c r="C455" s="36"/>
      <c r="D455" s="39"/>
      <c r="E455" s="39"/>
      <c r="F455" s="235"/>
      <c r="G455" s="36"/>
      <c r="H455" s="39"/>
      <c r="I455" s="37"/>
      <c r="J455" s="38"/>
      <c r="K455" s="39"/>
      <c r="L455" s="39"/>
      <c r="M455" s="39"/>
      <c r="N455" s="39"/>
      <c r="O455" s="37"/>
      <c r="P455" s="38"/>
      <c r="Q455" s="39"/>
      <c r="R455" s="37"/>
      <c r="S455" s="38"/>
      <c r="T455" s="39"/>
      <c r="U455" s="37"/>
      <c r="V455" s="259"/>
      <c r="W455" s="38"/>
      <c r="X455" s="39"/>
      <c r="Y455" s="39"/>
      <c r="Z455" s="39"/>
      <c r="AA455" s="39"/>
      <c r="AB455" s="37"/>
      <c r="AF455" s="257"/>
      <c r="AG455" s="236"/>
      <c r="AH455" s="237"/>
    </row>
    <row r="456" spans="1:34" ht="15" customHeight="1">
      <c r="A456" s="38"/>
      <c r="B456" s="233"/>
      <c r="C456" s="36"/>
      <c r="D456" s="39"/>
      <c r="E456" s="39"/>
      <c r="F456" s="235"/>
      <c r="G456" s="36"/>
      <c r="H456" s="39"/>
      <c r="I456" s="37"/>
      <c r="J456" s="38"/>
      <c r="K456" s="39"/>
      <c r="L456" s="39"/>
      <c r="M456" s="39"/>
      <c r="N456" s="39"/>
      <c r="O456" s="37"/>
      <c r="P456" s="38"/>
      <c r="Q456" s="39"/>
      <c r="R456" s="37"/>
      <c r="S456" s="38"/>
      <c r="T456" s="39"/>
      <c r="U456" s="37"/>
      <c r="V456" s="259"/>
      <c r="W456" s="38"/>
      <c r="X456" s="39"/>
      <c r="Y456" s="39"/>
      <c r="Z456" s="39"/>
      <c r="AA456" s="39"/>
      <c r="AB456" s="37"/>
      <c r="AF456" s="257"/>
      <c r="AG456" s="236"/>
      <c r="AH456" s="237"/>
    </row>
    <row r="457" spans="1:34" ht="15" customHeight="1">
      <c r="A457" s="38"/>
      <c r="B457" s="233"/>
      <c r="C457" s="36"/>
      <c r="D457" s="39"/>
      <c r="E457" s="39"/>
      <c r="F457" s="235"/>
      <c r="G457" s="36"/>
      <c r="H457" s="39"/>
      <c r="I457" s="37"/>
      <c r="J457" s="38"/>
      <c r="K457" s="39"/>
      <c r="L457" s="39"/>
      <c r="M457" s="39"/>
      <c r="N457" s="39"/>
      <c r="O457" s="37"/>
      <c r="P457" s="38"/>
      <c r="Q457" s="39"/>
      <c r="R457" s="37"/>
      <c r="S457" s="38"/>
      <c r="T457" s="39"/>
      <c r="U457" s="37"/>
      <c r="V457" s="259"/>
      <c r="W457" s="38"/>
      <c r="X457" s="39"/>
      <c r="Y457" s="39"/>
      <c r="Z457" s="39"/>
      <c r="AA457" s="39"/>
      <c r="AB457" s="37"/>
      <c r="AF457" s="257"/>
      <c r="AG457" s="236"/>
      <c r="AH457" s="237"/>
    </row>
    <row r="458" spans="1:34" ht="15" customHeight="1">
      <c r="A458" s="38"/>
      <c r="B458" s="233"/>
      <c r="C458" s="36"/>
      <c r="D458" s="39"/>
      <c r="E458" s="39"/>
      <c r="F458" s="235"/>
      <c r="G458" s="36"/>
      <c r="H458" s="39"/>
      <c r="I458" s="37"/>
      <c r="J458" s="38"/>
      <c r="K458" s="39"/>
      <c r="L458" s="39"/>
      <c r="M458" s="39"/>
      <c r="N458" s="39"/>
      <c r="O458" s="37"/>
      <c r="P458" s="38"/>
      <c r="Q458" s="39"/>
      <c r="R458" s="37"/>
      <c r="S458" s="38"/>
      <c r="T458" s="39"/>
      <c r="U458" s="37"/>
      <c r="V458" s="259"/>
      <c r="W458" s="38"/>
      <c r="X458" s="39"/>
      <c r="Y458" s="39"/>
      <c r="Z458" s="39"/>
      <c r="AA458" s="39"/>
      <c r="AB458" s="37"/>
      <c r="AF458" s="257"/>
      <c r="AG458" s="236"/>
      <c r="AH458" s="237"/>
    </row>
    <row r="459" spans="1:34" ht="15" customHeight="1">
      <c r="A459" s="38"/>
      <c r="B459" s="233"/>
      <c r="C459" s="36"/>
      <c r="D459" s="39"/>
      <c r="E459" s="39"/>
      <c r="F459" s="235"/>
      <c r="G459" s="36"/>
      <c r="H459" s="39"/>
      <c r="I459" s="37"/>
      <c r="J459" s="38"/>
      <c r="K459" s="39"/>
      <c r="L459" s="39"/>
      <c r="M459" s="39"/>
      <c r="N459" s="39"/>
      <c r="O459" s="37"/>
      <c r="P459" s="38"/>
      <c r="Q459" s="39"/>
      <c r="R459" s="37"/>
      <c r="S459" s="38"/>
      <c r="T459" s="39"/>
      <c r="U459" s="37"/>
      <c r="V459" s="259"/>
      <c r="W459" s="38"/>
      <c r="X459" s="39"/>
      <c r="Y459" s="39"/>
      <c r="Z459" s="39"/>
      <c r="AA459" s="39"/>
      <c r="AB459" s="37"/>
      <c r="AF459" s="257"/>
      <c r="AG459" s="236"/>
      <c r="AH459" s="237"/>
    </row>
    <row r="460" spans="1:34" ht="15" customHeight="1">
      <c r="A460" s="38"/>
      <c r="B460" s="233"/>
      <c r="C460" s="36"/>
      <c r="D460" s="39"/>
      <c r="E460" s="39"/>
      <c r="F460" s="235"/>
      <c r="G460" s="36"/>
      <c r="H460" s="39"/>
      <c r="I460" s="37"/>
      <c r="J460" s="38"/>
      <c r="K460" s="39"/>
      <c r="L460" s="39"/>
      <c r="M460" s="39"/>
      <c r="N460" s="39"/>
      <c r="O460" s="37"/>
      <c r="P460" s="38"/>
      <c r="Q460" s="39"/>
      <c r="R460" s="37"/>
      <c r="S460" s="38"/>
      <c r="T460" s="39"/>
      <c r="U460" s="37"/>
      <c r="V460" s="259"/>
      <c r="W460" s="38"/>
      <c r="X460" s="39"/>
      <c r="Y460" s="39"/>
      <c r="Z460" s="39"/>
      <c r="AA460" s="39"/>
      <c r="AB460" s="37"/>
      <c r="AF460" s="257"/>
      <c r="AG460" s="236"/>
      <c r="AH460" s="237"/>
    </row>
    <row r="461" spans="1:34" ht="15" customHeight="1">
      <c r="A461" s="38"/>
      <c r="B461" s="233"/>
      <c r="C461" s="36"/>
      <c r="D461" s="39"/>
      <c r="E461" s="39"/>
      <c r="F461" s="235"/>
      <c r="G461" s="36"/>
      <c r="H461" s="39"/>
      <c r="I461" s="37"/>
      <c r="J461" s="38"/>
      <c r="K461" s="39"/>
      <c r="L461" s="39"/>
      <c r="M461" s="39"/>
      <c r="N461" s="39"/>
      <c r="O461" s="37"/>
      <c r="P461" s="38"/>
      <c r="Q461" s="39"/>
      <c r="R461" s="37"/>
      <c r="S461" s="38"/>
      <c r="T461" s="39"/>
      <c r="U461" s="37"/>
      <c r="V461" s="259"/>
      <c r="W461" s="38"/>
      <c r="X461" s="39"/>
      <c r="Y461" s="39"/>
      <c r="Z461" s="39"/>
      <c r="AA461" s="39"/>
      <c r="AB461" s="37"/>
      <c r="AF461" s="257"/>
      <c r="AG461" s="236"/>
      <c r="AH461" s="237"/>
    </row>
    <row r="462" spans="1:34" ht="15" customHeight="1">
      <c r="A462" s="38"/>
      <c r="B462" s="233"/>
      <c r="C462" s="36"/>
      <c r="D462" s="39"/>
      <c r="E462" s="39"/>
      <c r="F462" s="235"/>
      <c r="G462" s="36"/>
      <c r="H462" s="39"/>
      <c r="I462" s="37"/>
      <c r="J462" s="38"/>
      <c r="K462" s="39"/>
      <c r="L462" s="39"/>
      <c r="M462" s="39"/>
      <c r="N462" s="39"/>
      <c r="O462" s="37"/>
      <c r="P462" s="38"/>
      <c r="Q462" s="39"/>
      <c r="R462" s="37"/>
      <c r="S462" s="38"/>
      <c r="T462" s="39"/>
      <c r="U462" s="37"/>
      <c r="V462" s="259"/>
      <c r="W462" s="38"/>
      <c r="X462" s="39"/>
      <c r="Y462" s="39"/>
      <c r="Z462" s="39"/>
      <c r="AA462" s="39"/>
      <c r="AB462" s="37"/>
      <c r="AF462" s="257"/>
      <c r="AG462" s="236"/>
      <c r="AH462" s="237"/>
    </row>
    <row r="463" spans="1:34" ht="15" customHeight="1">
      <c r="A463" s="38"/>
      <c r="B463" s="233"/>
      <c r="C463" s="36"/>
      <c r="D463" s="39"/>
      <c r="E463" s="39"/>
      <c r="F463" s="235"/>
      <c r="G463" s="36"/>
      <c r="H463" s="39"/>
      <c r="I463" s="37"/>
      <c r="J463" s="38"/>
      <c r="K463" s="39"/>
      <c r="L463" s="39"/>
      <c r="M463" s="39"/>
      <c r="N463" s="39"/>
      <c r="O463" s="37"/>
      <c r="P463" s="38"/>
      <c r="Q463" s="39"/>
      <c r="R463" s="37"/>
      <c r="S463" s="38"/>
      <c r="T463" s="39"/>
      <c r="U463" s="37"/>
      <c r="V463" s="259"/>
      <c r="W463" s="38"/>
      <c r="X463" s="39"/>
      <c r="Y463" s="39"/>
      <c r="Z463" s="39"/>
      <c r="AA463" s="39"/>
      <c r="AB463" s="37"/>
      <c r="AF463" s="257"/>
      <c r="AG463" s="236"/>
      <c r="AH463" s="237"/>
    </row>
    <row r="464" spans="1:34" ht="15" customHeight="1">
      <c r="A464" s="38"/>
      <c r="B464" s="233"/>
      <c r="C464" s="36"/>
      <c r="D464" s="39"/>
      <c r="E464" s="39"/>
      <c r="F464" s="235"/>
      <c r="G464" s="36"/>
      <c r="H464" s="39"/>
      <c r="I464" s="37"/>
      <c r="J464" s="38"/>
      <c r="K464" s="39"/>
      <c r="L464" s="39"/>
      <c r="M464" s="39"/>
      <c r="N464" s="39"/>
      <c r="O464" s="37"/>
      <c r="P464" s="38"/>
      <c r="Q464" s="39"/>
      <c r="R464" s="37"/>
      <c r="S464" s="38"/>
      <c r="T464" s="39"/>
      <c r="U464" s="37"/>
      <c r="V464" s="259"/>
      <c r="W464" s="38"/>
      <c r="X464" s="39"/>
      <c r="Y464" s="39"/>
      <c r="Z464" s="39"/>
      <c r="AA464" s="39"/>
      <c r="AB464" s="37"/>
      <c r="AF464" s="257"/>
      <c r="AG464" s="236"/>
      <c r="AH464" s="237"/>
    </row>
    <row r="465" spans="1:34" ht="15" customHeight="1">
      <c r="A465" s="38"/>
      <c r="B465" s="233"/>
      <c r="C465" s="36"/>
      <c r="D465" s="39"/>
      <c r="E465" s="39"/>
      <c r="F465" s="235"/>
      <c r="G465" s="36"/>
      <c r="H465" s="39"/>
      <c r="I465" s="37"/>
      <c r="J465" s="38"/>
      <c r="K465" s="39"/>
      <c r="L465" s="39"/>
      <c r="M465" s="39"/>
      <c r="N465" s="39"/>
      <c r="O465" s="37"/>
      <c r="P465" s="38"/>
      <c r="Q465" s="39"/>
      <c r="R465" s="37"/>
      <c r="S465" s="38"/>
      <c r="T465" s="39"/>
      <c r="U465" s="37"/>
      <c r="V465" s="259"/>
      <c r="W465" s="38"/>
      <c r="X465" s="39"/>
      <c r="Y465" s="39"/>
      <c r="Z465" s="39"/>
      <c r="AA465" s="39"/>
      <c r="AB465" s="37"/>
      <c r="AF465" s="257"/>
      <c r="AG465" s="236"/>
      <c r="AH465" s="237"/>
    </row>
    <row r="466" spans="1:34" ht="15" customHeight="1">
      <c r="A466" s="38"/>
      <c r="B466" s="233"/>
      <c r="C466" s="36"/>
      <c r="D466" s="39"/>
      <c r="E466" s="39"/>
      <c r="F466" s="235"/>
      <c r="G466" s="36"/>
      <c r="H466" s="39"/>
      <c r="I466" s="37"/>
      <c r="J466" s="38"/>
      <c r="K466" s="39"/>
      <c r="L466" s="39"/>
      <c r="M466" s="39"/>
      <c r="N466" s="39"/>
      <c r="O466" s="37"/>
      <c r="P466" s="38"/>
      <c r="Q466" s="39"/>
      <c r="R466" s="37"/>
      <c r="S466" s="38"/>
      <c r="T466" s="39"/>
      <c r="U466" s="37"/>
      <c r="V466" s="259"/>
      <c r="W466" s="38"/>
      <c r="X466" s="39"/>
      <c r="Y466" s="39"/>
      <c r="Z466" s="39"/>
      <c r="AA466" s="39"/>
      <c r="AB466" s="37"/>
      <c r="AF466" s="257"/>
      <c r="AG466" s="236"/>
      <c r="AH466" s="237"/>
    </row>
    <row r="467" spans="1:34" ht="15" customHeight="1">
      <c r="A467" s="38"/>
      <c r="B467" s="233"/>
      <c r="C467" s="36"/>
      <c r="D467" s="39"/>
      <c r="E467" s="39"/>
      <c r="F467" s="235"/>
      <c r="G467" s="36"/>
      <c r="H467" s="39"/>
      <c r="I467" s="37"/>
      <c r="J467" s="38"/>
      <c r="K467" s="39"/>
      <c r="L467" s="39"/>
      <c r="M467" s="39"/>
      <c r="N467" s="39"/>
      <c r="O467" s="37"/>
      <c r="P467" s="38"/>
      <c r="Q467" s="39"/>
      <c r="R467" s="37"/>
      <c r="S467" s="38"/>
      <c r="T467" s="39"/>
      <c r="U467" s="37"/>
      <c r="V467" s="259"/>
      <c r="W467" s="38"/>
      <c r="X467" s="39"/>
      <c r="Y467" s="39"/>
      <c r="Z467" s="39"/>
      <c r="AA467" s="39"/>
      <c r="AB467" s="37"/>
      <c r="AF467" s="257"/>
      <c r="AG467" s="236"/>
      <c r="AH467" s="237"/>
    </row>
    <row r="468" spans="1:34" ht="15" customHeight="1">
      <c r="A468" s="38"/>
      <c r="B468" s="233"/>
      <c r="C468" s="36"/>
      <c r="D468" s="39"/>
      <c r="E468" s="39"/>
      <c r="F468" s="235"/>
      <c r="G468" s="36"/>
      <c r="H468" s="39"/>
      <c r="I468" s="37"/>
      <c r="J468" s="38"/>
      <c r="K468" s="39"/>
      <c r="L468" s="39"/>
      <c r="M468" s="39"/>
      <c r="N468" s="39"/>
      <c r="O468" s="37"/>
      <c r="P468" s="38"/>
      <c r="Q468" s="39"/>
      <c r="R468" s="37"/>
      <c r="S468" s="38"/>
      <c r="T468" s="39"/>
      <c r="U468" s="37"/>
      <c r="V468" s="259"/>
      <c r="W468" s="38"/>
      <c r="X468" s="39"/>
      <c r="Y468" s="39"/>
      <c r="Z468" s="39"/>
      <c r="AA468" s="39"/>
      <c r="AB468" s="37"/>
      <c r="AF468" s="257"/>
      <c r="AG468" s="236"/>
      <c r="AH468" s="237"/>
    </row>
    <row r="469" spans="1:34" ht="15" customHeight="1">
      <c r="A469" s="38"/>
      <c r="B469" s="233"/>
      <c r="C469" s="36"/>
      <c r="D469" s="39"/>
      <c r="E469" s="39"/>
      <c r="F469" s="235"/>
      <c r="G469" s="36"/>
      <c r="H469" s="39"/>
      <c r="I469" s="37"/>
      <c r="J469" s="38"/>
      <c r="K469" s="39"/>
      <c r="L469" s="39"/>
      <c r="M469" s="39"/>
      <c r="N469" s="39"/>
      <c r="O469" s="37"/>
      <c r="P469" s="38"/>
      <c r="Q469" s="39"/>
      <c r="R469" s="37"/>
      <c r="S469" s="38"/>
      <c r="T469" s="39"/>
      <c r="U469" s="37"/>
      <c r="V469" s="259"/>
      <c r="W469" s="38"/>
      <c r="X469" s="39"/>
      <c r="Y469" s="39"/>
      <c r="Z469" s="39"/>
      <c r="AA469" s="39"/>
      <c r="AB469" s="37"/>
      <c r="AF469" s="257"/>
      <c r="AG469" s="236"/>
      <c r="AH469" s="237"/>
    </row>
    <row r="470" spans="1:34" ht="15" customHeight="1">
      <c r="A470" s="38"/>
      <c r="B470" s="233"/>
      <c r="C470" s="36"/>
      <c r="D470" s="39"/>
      <c r="E470" s="39"/>
      <c r="F470" s="235"/>
      <c r="G470" s="36"/>
      <c r="H470" s="39"/>
      <c r="I470" s="37"/>
      <c r="J470" s="38"/>
      <c r="K470" s="39"/>
      <c r="L470" s="39"/>
      <c r="M470" s="39"/>
      <c r="N470" s="39"/>
      <c r="O470" s="37"/>
      <c r="P470" s="38"/>
      <c r="Q470" s="39"/>
      <c r="R470" s="37"/>
      <c r="S470" s="38"/>
      <c r="T470" s="39"/>
      <c r="U470" s="37"/>
      <c r="V470" s="259"/>
      <c r="W470" s="38"/>
      <c r="X470" s="39"/>
      <c r="Y470" s="39"/>
      <c r="Z470" s="39"/>
      <c r="AA470" s="39"/>
      <c r="AB470" s="37"/>
      <c r="AF470" s="257"/>
      <c r="AG470" s="236"/>
      <c r="AH470" s="237"/>
    </row>
    <row r="471" spans="1:34" ht="15" customHeight="1">
      <c r="A471" s="38"/>
      <c r="B471" s="233"/>
      <c r="C471" s="36"/>
      <c r="D471" s="39"/>
      <c r="E471" s="39"/>
      <c r="F471" s="235"/>
      <c r="G471" s="36"/>
      <c r="H471" s="39"/>
      <c r="I471" s="37"/>
      <c r="J471" s="38"/>
      <c r="K471" s="39"/>
      <c r="L471" s="39"/>
      <c r="M471" s="39"/>
      <c r="N471" s="39"/>
      <c r="O471" s="37"/>
      <c r="P471" s="38"/>
      <c r="Q471" s="39"/>
      <c r="R471" s="37"/>
      <c r="S471" s="38"/>
      <c r="T471" s="39"/>
      <c r="U471" s="37"/>
      <c r="V471" s="259"/>
      <c r="W471" s="38"/>
      <c r="X471" s="39"/>
      <c r="Y471" s="39"/>
      <c r="Z471" s="39"/>
      <c r="AA471" s="39"/>
      <c r="AB471" s="37"/>
      <c r="AF471" s="257"/>
      <c r="AG471" s="236"/>
      <c r="AH471" s="237"/>
    </row>
    <row r="472" spans="1:34" ht="15" customHeight="1">
      <c r="A472" s="38"/>
      <c r="B472" s="233"/>
      <c r="C472" s="36"/>
      <c r="D472" s="39"/>
      <c r="E472" s="39"/>
      <c r="F472" s="235"/>
      <c r="G472" s="36"/>
      <c r="H472" s="39"/>
      <c r="I472" s="37"/>
      <c r="J472" s="38"/>
      <c r="K472" s="39"/>
      <c r="L472" s="39"/>
      <c r="M472" s="39"/>
      <c r="N472" s="39"/>
      <c r="O472" s="37"/>
      <c r="P472" s="38"/>
      <c r="Q472" s="39"/>
      <c r="R472" s="37"/>
      <c r="S472" s="38"/>
      <c r="T472" s="39"/>
      <c r="U472" s="37"/>
      <c r="V472" s="259"/>
      <c r="W472" s="38"/>
      <c r="X472" s="39"/>
      <c r="Y472" s="39"/>
      <c r="Z472" s="39"/>
      <c r="AA472" s="39"/>
      <c r="AB472" s="37"/>
      <c r="AF472" s="257"/>
      <c r="AG472" s="236"/>
      <c r="AH472" s="237"/>
    </row>
    <row r="473" spans="1:34" ht="15" customHeight="1">
      <c r="A473" s="38"/>
      <c r="B473" s="233"/>
      <c r="C473" s="36"/>
      <c r="D473" s="39"/>
      <c r="E473" s="39"/>
      <c r="F473" s="235"/>
      <c r="G473" s="36"/>
      <c r="H473" s="39"/>
      <c r="I473" s="37"/>
      <c r="J473" s="38"/>
      <c r="K473" s="39"/>
      <c r="L473" s="39"/>
      <c r="M473" s="39"/>
      <c r="N473" s="39"/>
      <c r="O473" s="37"/>
      <c r="P473" s="38"/>
      <c r="Q473" s="39"/>
      <c r="R473" s="37"/>
      <c r="S473" s="38"/>
      <c r="T473" s="39"/>
      <c r="U473" s="37"/>
      <c r="V473" s="259"/>
      <c r="W473" s="38"/>
      <c r="X473" s="39"/>
      <c r="Y473" s="39"/>
      <c r="Z473" s="39"/>
      <c r="AA473" s="39"/>
      <c r="AB473" s="37"/>
      <c r="AF473" s="257"/>
      <c r="AG473" s="236"/>
      <c r="AH473" s="237"/>
    </row>
    <row r="474" spans="1:34" ht="15" customHeight="1">
      <c r="A474" s="38"/>
      <c r="B474" s="233"/>
      <c r="C474" s="36"/>
      <c r="D474" s="39"/>
      <c r="E474" s="39"/>
      <c r="F474" s="235"/>
      <c r="G474" s="36"/>
      <c r="H474" s="39"/>
      <c r="I474" s="37"/>
      <c r="J474" s="38"/>
      <c r="K474" s="39"/>
      <c r="L474" s="39"/>
      <c r="M474" s="39"/>
      <c r="N474" s="39"/>
      <c r="O474" s="37"/>
      <c r="P474" s="38"/>
      <c r="Q474" s="39"/>
      <c r="R474" s="37"/>
      <c r="S474" s="38"/>
      <c r="T474" s="39"/>
      <c r="U474" s="37"/>
      <c r="V474" s="259"/>
      <c r="W474" s="38"/>
      <c r="X474" s="39"/>
      <c r="Y474" s="39"/>
      <c r="Z474" s="39"/>
      <c r="AA474" s="39"/>
      <c r="AB474" s="37"/>
      <c r="AF474" s="257"/>
      <c r="AG474" s="236"/>
      <c r="AH474" s="237"/>
    </row>
    <row r="475" spans="1:34" ht="15" customHeight="1">
      <c r="A475" s="38"/>
      <c r="B475" s="233"/>
      <c r="C475" s="36"/>
      <c r="D475" s="39"/>
      <c r="E475" s="39"/>
      <c r="F475" s="235"/>
      <c r="G475" s="36"/>
      <c r="H475" s="39"/>
      <c r="I475" s="37"/>
      <c r="J475" s="38"/>
      <c r="K475" s="39"/>
      <c r="L475" s="39"/>
      <c r="M475" s="39"/>
      <c r="N475" s="39"/>
      <c r="O475" s="37"/>
      <c r="P475" s="38"/>
      <c r="Q475" s="39"/>
      <c r="R475" s="37"/>
      <c r="S475" s="38"/>
      <c r="T475" s="39"/>
      <c r="U475" s="37"/>
      <c r="V475" s="259"/>
      <c r="W475" s="38"/>
      <c r="X475" s="39"/>
      <c r="Y475" s="39"/>
      <c r="Z475" s="39"/>
      <c r="AA475" s="39"/>
      <c r="AB475" s="37"/>
      <c r="AF475" s="257"/>
      <c r="AG475" s="236"/>
      <c r="AH475" s="237"/>
    </row>
    <row r="476" spans="1:34" ht="15" customHeight="1">
      <c r="A476" s="38"/>
      <c r="B476" s="233"/>
      <c r="C476" s="36"/>
      <c r="D476" s="39"/>
      <c r="E476" s="39"/>
      <c r="F476" s="235"/>
      <c r="G476" s="36"/>
      <c r="H476" s="39"/>
      <c r="I476" s="37"/>
      <c r="J476" s="38"/>
      <c r="K476" s="39"/>
      <c r="L476" s="39"/>
      <c r="M476" s="39"/>
      <c r="N476" s="39"/>
      <c r="O476" s="37"/>
      <c r="P476" s="38"/>
      <c r="Q476" s="39"/>
      <c r="R476" s="37"/>
      <c r="S476" s="38"/>
      <c r="T476" s="39"/>
      <c r="U476" s="37"/>
      <c r="V476" s="259"/>
      <c r="W476" s="38"/>
      <c r="X476" s="39"/>
      <c r="Y476" s="39"/>
      <c r="Z476" s="39"/>
      <c r="AA476" s="39"/>
      <c r="AB476" s="37"/>
      <c r="AF476" s="257"/>
      <c r="AG476" s="236"/>
      <c r="AH476" s="237"/>
    </row>
    <row r="477" spans="1:34" ht="15" customHeight="1">
      <c r="A477" s="38"/>
      <c r="B477" s="233"/>
      <c r="C477" s="36"/>
      <c r="D477" s="39"/>
      <c r="E477" s="39"/>
      <c r="F477" s="235"/>
      <c r="G477" s="36"/>
      <c r="H477" s="39"/>
      <c r="I477" s="37"/>
      <c r="J477" s="38"/>
      <c r="K477" s="39"/>
      <c r="L477" s="39"/>
      <c r="M477" s="39"/>
      <c r="N477" s="39"/>
      <c r="O477" s="37"/>
      <c r="P477" s="38"/>
      <c r="Q477" s="39"/>
      <c r="R477" s="37"/>
      <c r="S477" s="38"/>
      <c r="T477" s="39"/>
      <c r="U477" s="37"/>
      <c r="V477" s="259"/>
      <c r="W477" s="38"/>
      <c r="X477" s="39"/>
      <c r="Y477" s="39"/>
      <c r="Z477" s="39"/>
      <c r="AA477" s="39"/>
      <c r="AB477" s="37"/>
      <c r="AF477" s="257"/>
      <c r="AG477" s="236"/>
      <c r="AH477" s="237"/>
    </row>
    <row r="478" spans="1:34" ht="15" customHeight="1">
      <c r="A478" s="38"/>
      <c r="B478" s="233"/>
      <c r="C478" s="36"/>
      <c r="D478" s="39"/>
      <c r="E478" s="39"/>
      <c r="F478" s="235"/>
      <c r="G478" s="36"/>
      <c r="H478" s="39"/>
      <c r="I478" s="37"/>
      <c r="J478" s="38"/>
      <c r="K478" s="39"/>
      <c r="L478" s="39"/>
      <c r="M478" s="39"/>
      <c r="N478" s="39"/>
      <c r="O478" s="37"/>
      <c r="P478" s="38"/>
      <c r="Q478" s="39"/>
      <c r="R478" s="37"/>
      <c r="S478" s="38"/>
      <c r="T478" s="39"/>
      <c r="U478" s="37"/>
      <c r="V478" s="259"/>
      <c r="W478" s="38"/>
      <c r="X478" s="39"/>
      <c r="Y478" s="39"/>
      <c r="Z478" s="39"/>
      <c r="AA478" s="39"/>
      <c r="AB478" s="37"/>
      <c r="AF478" s="257"/>
      <c r="AG478" s="236"/>
      <c r="AH478" s="237"/>
    </row>
    <row r="479" spans="1:34" ht="15" customHeight="1">
      <c r="A479" s="38"/>
      <c r="B479" s="233"/>
      <c r="C479" s="36"/>
      <c r="D479" s="39"/>
      <c r="E479" s="39"/>
      <c r="F479" s="235"/>
      <c r="G479" s="36"/>
      <c r="H479" s="39"/>
      <c r="I479" s="37"/>
      <c r="J479" s="38"/>
      <c r="K479" s="39"/>
      <c r="L479" s="39"/>
      <c r="M479" s="39"/>
      <c r="N479" s="39"/>
      <c r="O479" s="37"/>
      <c r="P479" s="38"/>
      <c r="Q479" s="39"/>
      <c r="R479" s="37"/>
      <c r="S479" s="38"/>
      <c r="T479" s="39"/>
      <c r="U479" s="37"/>
      <c r="V479" s="259"/>
      <c r="W479" s="38"/>
      <c r="X479" s="39"/>
      <c r="Y479" s="39"/>
      <c r="Z479" s="39"/>
      <c r="AA479" s="39"/>
      <c r="AB479" s="37"/>
      <c r="AF479" s="257"/>
      <c r="AG479" s="236"/>
      <c r="AH479" s="237"/>
    </row>
    <row r="480" spans="1:34" ht="15" customHeight="1">
      <c r="A480" s="38"/>
      <c r="B480" s="233"/>
      <c r="C480" s="36"/>
      <c r="D480" s="39"/>
      <c r="E480" s="39"/>
      <c r="F480" s="235"/>
      <c r="G480" s="36"/>
      <c r="H480" s="39"/>
      <c r="I480" s="37"/>
      <c r="J480" s="38"/>
      <c r="K480" s="39"/>
      <c r="L480" s="39"/>
      <c r="M480" s="39"/>
      <c r="N480" s="39"/>
      <c r="O480" s="37"/>
      <c r="P480" s="38"/>
      <c r="Q480" s="39"/>
      <c r="R480" s="37"/>
      <c r="S480" s="38"/>
      <c r="T480" s="39"/>
      <c r="U480" s="37"/>
      <c r="V480" s="259"/>
      <c r="W480" s="38"/>
      <c r="X480" s="39"/>
      <c r="Y480" s="39"/>
      <c r="Z480" s="39"/>
      <c r="AA480" s="39"/>
      <c r="AB480" s="37"/>
      <c r="AF480" s="257"/>
      <c r="AG480" s="236"/>
      <c r="AH480" s="237"/>
    </row>
    <row r="481" spans="1:34" ht="15" customHeight="1">
      <c r="A481" s="38"/>
      <c r="B481" s="233"/>
      <c r="C481" s="36"/>
      <c r="D481" s="39"/>
      <c r="E481" s="39"/>
      <c r="F481" s="235"/>
      <c r="G481" s="36"/>
      <c r="H481" s="39"/>
      <c r="I481" s="37"/>
      <c r="J481" s="38"/>
      <c r="K481" s="39"/>
      <c r="L481" s="39"/>
      <c r="M481" s="39"/>
      <c r="N481" s="39"/>
      <c r="O481" s="37"/>
      <c r="P481" s="38"/>
      <c r="Q481" s="39"/>
      <c r="R481" s="37"/>
      <c r="S481" s="38"/>
      <c r="T481" s="39"/>
      <c r="U481" s="37"/>
      <c r="V481" s="259"/>
      <c r="W481" s="38"/>
      <c r="X481" s="39"/>
      <c r="Y481" s="39"/>
      <c r="Z481" s="39"/>
      <c r="AA481" s="39"/>
      <c r="AB481" s="37"/>
      <c r="AF481" s="257"/>
      <c r="AG481" s="236"/>
      <c r="AH481" s="237"/>
    </row>
    <row r="482" spans="1:34" ht="15" customHeight="1">
      <c r="A482" s="38"/>
      <c r="B482" s="233"/>
      <c r="C482" s="36"/>
      <c r="D482" s="39"/>
      <c r="E482" s="39"/>
      <c r="F482" s="235"/>
      <c r="G482" s="36"/>
      <c r="H482" s="39"/>
      <c r="I482" s="37"/>
      <c r="J482" s="38"/>
      <c r="K482" s="39"/>
      <c r="L482" s="39"/>
      <c r="M482" s="39"/>
      <c r="N482" s="39"/>
      <c r="O482" s="37"/>
      <c r="P482" s="38"/>
      <c r="Q482" s="39"/>
      <c r="R482" s="37"/>
      <c r="S482" s="38"/>
      <c r="T482" s="39"/>
      <c r="U482" s="37"/>
      <c r="V482" s="259"/>
      <c r="W482" s="38"/>
      <c r="X482" s="39"/>
      <c r="Y482" s="39"/>
      <c r="Z482" s="39"/>
      <c r="AA482" s="39"/>
      <c r="AB482" s="37"/>
      <c r="AF482" s="257"/>
      <c r="AG482" s="236"/>
      <c r="AH482" s="237"/>
    </row>
    <row r="483" spans="1:34" ht="15" customHeight="1">
      <c r="A483" s="38"/>
      <c r="B483" s="233"/>
      <c r="C483" s="36"/>
      <c r="D483" s="39"/>
      <c r="E483" s="39"/>
      <c r="F483" s="235"/>
      <c r="G483" s="36"/>
      <c r="H483" s="39"/>
      <c r="I483" s="37"/>
      <c r="J483" s="38"/>
      <c r="K483" s="39"/>
      <c r="L483" s="39"/>
      <c r="M483" s="39"/>
      <c r="N483" s="39"/>
      <c r="O483" s="37"/>
      <c r="P483" s="38"/>
      <c r="Q483" s="39"/>
      <c r="R483" s="37"/>
      <c r="S483" s="38"/>
      <c r="T483" s="39"/>
      <c r="U483" s="37"/>
      <c r="V483" s="259"/>
      <c r="W483" s="38"/>
      <c r="X483" s="39"/>
      <c r="Y483" s="39"/>
      <c r="Z483" s="39"/>
      <c r="AA483" s="39"/>
      <c r="AB483" s="37"/>
      <c r="AF483" s="257"/>
      <c r="AG483" s="236"/>
      <c r="AH483" s="237"/>
    </row>
    <row r="484" spans="1:34" ht="15" customHeight="1">
      <c r="A484" s="38"/>
      <c r="B484" s="233"/>
      <c r="C484" s="36"/>
      <c r="D484" s="39"/>
      <c r="E484" s="39"/>
      <c r="F484" s="235"/>
      <c r="G484" s="36"/>
      <c r="H484" s="39"/>
      <c r="I484" s="37"/>
      <c r="J484" s="38"/>
      <c r="K484" s="39"/>
      <c r="L484" s="39"/>
      <c r="M484" s="39"/>
      <c r="N484" s="39"/>
      <c r="O484" s="37"/>
      <c r="P484" s="38"/>
      <c r="Q484" s="39"/>
      <c r="R484" s="37"/>
      <c r="S484" s="38"/>
      <c r="T484" s="39"/>
      <c r="U484" s="37"/>
      <c r="V484" s="259"/>
      <c r="W484" s="38"/>
      <c r="X484" s="39"/>
      <c r="Y484" s="39"/>
      <c r="Z484" s="39"/>
      <c r="AA484" s="39"/>
      <c r="AB484" s="37"/>
      <c r="AF484" s="257"/>
      <c r="AG484" s="236"/>
      <c r="AH484" s="237"/>
    </row>
    <row r="485" spans="1:34" ht="15" customHeight="1">
      <c r="A485" s="38"/>
      <c r="B485" s="233"/>
      <c r="C485" s="36"/>
      <c r="D485" s="39"/>
      <c r="E485" s="39"/>
      <c r="F485" s="235"/>
      <c r="G485" s="36"/>
      <c r="H485" s="39"/>
      <c r="I485" s="37"/>
      <c r="J485" s="38"/>
      <c r="K485" s="39"/>
      <c r="L485" s="39"/>
      <c r="M485" s="39"/>
      <c r="N485" s="39"/>
      <c r="O485" s="37"/>
      <c r="P485" s="38"/>
      <c r="Q485" s="39"/>
      <c r="R485" s="37"/>
      <c r="S485" s="38"/>
      <c r="T485" s="39"/>
      <c r="U485" s="37"/>
      <c r="V485" s="259"/>
      <c r="W485" s="38"/>
      <c r="X485" s="39"/>
      <c r="Y485" s="39"/>
      <c r="Z485" s="39"/>
      <c r="AA485" s="39"/>
      <c r="AB485" s="37"/>
      <c r="AF485" s="257"/>
      <c r="AG485" s="236"/>
      <c r="AH485" s="237"/>
    </row>
    <row r="486" spans="1:34" ht="15" customHeight="1">
      <c r="A486" s="38"/>
      <c r="B486" s="233"/>
      <c r="C486" s="36"/>
      <c r="D486" s="39"/>
      <c r="E486" s="39"/>
      <c r="F486" s="235"/>
      <c r="G486" s="36"/>
      <c r="H486" s="39"/>
      <c r="I486" s="37"/>
      <c r="J486" s="38"/>
      <c r="K486" s="39"/>
      <c r="L486" s="39"/>
      <c r="M486" s="39"/>
      <c r="N486" s="39"/>
      <c r="O486" s="37"/>
      <c r="P486" s="38"/>
      <c r="Q486" s="39"/>
      <c r="R486" s="37"/>
      <c r="S486" s="38"/>
      <c r="T486" s="39"/>
      <c r="U486" s="37"/>
      <c r="V486" s="259"/>
      <c r="W486" s="38"/>
      <c r="X486" s="39"/>
      <c r="Y486" s="39"/>
      <c r="Z486" s="39"/>
      <c r="AA486" s="39"/>
      <c r="AB486" s="37"/>
      <c r="AF486" s="257"/>
      <c r="AG486" s="236"/>
      <c r="AH486" s="237"/>
    </row>
    <row r="487" spans="1:34" ht="15" customHeight="1">
      <c r="A487" s="38"/>
      <c r="B487" s="233"/>
      <c r="C487" s="36"/>
      <c r="D487" s="39"/>
      <c r="E487" s="39"/>
      <c r="F487" s="235"/>
      <c r="G487" s="36"/>
      <c r="H487" s="39"/>
      <c r="I487" s="37"/>
      <c r="J487" s="38"/>
      <c r="K487" s="39"/>
      <c r="L487" s="39"/>
      <c r="M487" s="39"/>
      <c r="N487" s="39"/>
      <c r="O487" s="37"/>
      <c r="P487" s="38"/>
      <c r="Q487" s="39"/>
      <c r="R487" s="37"/>
      <c r="S487" s="38"/>
      <c r="T487" s="39"/>
      <c r="U487" s="37"/>
      <c r="V487" s="259"/>
      <c r="W487" s="38"/>
      <c r="X487" s="39"/>
      <c r="Y487" s="39"/>
      <c r="Z487" s="39"/>
      <c r="AA487" s="39"/>
      <c r="AB487" s="37"/>
      <c r="AF487" s="257"/>
      <c r="AG487" s="236"/>
      <c r="AH487" s="237"/>
    </row>
    <row r="488" spans="1:34" ht="15" customHeight="1">
      <c r="A488" s="38"/>
      <c r="B488" s="233"/>
      <c r="C488" s="36"/>
      <c r="D488" s="39"/>
      <c r="E488" s="39"/>
      <c r="F488" s="235"/>
      <c r="G488" s="36"/>
      <c r="H488" s="39"/>
      <c r="I488" s="37"/>
      <c r="J488" s="38"/>
      <c r="K488" s="39"/>
      <c r="L488" s="39"/>
      <c r="M488" s="39"/>
      <c r="N488" s="39"/>
      <c r="O488" s="37"/>
      <c r="P488" s="38"/>
      <c r="Q488" s="39"/>
      <c r="R488" s="37"/>
      <c r="S488" s="38"/>
      <c r="T488" s="39"/>
      <c r="U488" s="37"/>
      <c r="V488" s="259"/>
      <c r="W488" s="38"/>
      <c r="X488" s="39"/>
      <c r="Y488" s="39"/>
      <c r="Z488" s="39"/>
      <c r="AA488" s="39"/>
      <c r="AB488" s="37"/>
      <c r="AF488" s="257"/>
      <c r="AG488" s="236"/>
      <c r="AH488" s="237"/>
    </row>
    <row r="489" spans="1:34" ht="15" customHeight="1">
      <c r="A489" s="38"/>
      <c r="B489" s="233"/>
      <c r="C489" s="36"/>
      <c r="D489" s="39"/>
      <c r="E489" s="39"/>
      <c r="F489" s="235"/>
      <c r="G489" s="36"/>
      <c r="H489" s="39"/>
      <c r="I489" s="37"/>
      <c r="J489" s="38"/>
      <c r="K489" s="39"/>
      <c r="L489" s="39"/>
      <c r="M489" s="39"/>
      <c r="N489" s="39"/>
      <c r="O489" s="37"/>
      <c r="P489" s="38"/>
      <c r="Q489" s="39"/>
      <c r="R489" s="37"/>
      <c r="S489" s="38"/>
      <c r="T489" s="39"/>
      <c r="U489" s="37"/>
      <c r="V489" s="259"/>
      <c r="W489" s="38"/>
      <c r="X489" s="39"/>
      <c r="Y489" s="39"/>
      <c r="Z489" s="39"/>
      <c r="AA489" s="39"/>
      <c r="AB489" s="37"/>
      <c r="AF489" s="257"/>
      <c r="AG489" s="236"/>
      <c r="AH489" s="237"/>
    </row>
    <row r="490" spans="1:34" ht="15" customHeight="1">
      <c r="A490" s="38"/>
      <c r="B490" s="233"/>
      <c r="C490" s="36"/>
      <c r="D490" s="39"/>
      <c r="E490" s="39"/>
      <c r="F490" s="235"/>
      <c r="G490" s="36"/>
      <c r="H490" s="39"/>
      <c r="I490" s="37"/>
      <c r="J490" s="38"/>
      <c r="K490" s="39"/>
      <c r="L490" s="39"/>
      <c r="M490" s="39"/>
      <c r="N490" s="39"/>
      <c r="O490" s="37"/>
      <c r="P490" s="38"/>
      <c r="Q490" s="39"/>
      <c r="R490" s="37"/>
      <c r="S490" s="38"/>
      <c r="T490" s="39"/>
      <c r="U490" s="37"/>
      <c r="V490" s="259"/>
      <c r="W490" s="38"/>
      <c r="X490" s="39"/>
      <c r="Y490" s="39"/>
      <c r="Z490" s="39"/>
      <c r="AA490" s="39"/>
      <c r="AB490" s="37"/>
      <c r="AF490" s="257"/>
      <c r="AG490" s="236"/>
      <c r="AH490" s="237"/>
    </row>
    <row r="491" spans="1:34" ht="15" customHeight="1">
      <c r="A491" s="38"/>
      <c r="B491" s="233"/>
      <c r="C491" s="36"/>
      <c r="D491" s="39"/>
      <c r="E491" s="39"/>
      <c r="F491" s="235"/>
      <c r="G491" s="36"/>
      <c r="H491" s="39"/>
      <c r="I491" s="37"/>
      <c r="J491" s="38"/>
      <c r="K491" s="39"/>
      <c r="L491" s="39"/>
      <c r="M491" s="39"/>
      <c r="N491" s="39"/>
      <c r="O491" s="37"/>
      <c r="P491" s="38"/>
      <c r="Q491" s="39"/>
      <c r="R491" s="37"/>
      <c r="S491" s="38"/>
      <c r="T491" s="39"/>
      <c r="U491" s="37"/>
      <c r="V491" s="259"/>
      <c r="W491" s="38"/>
      <c r="X491" s="39"/>
      <c r="Y491" s="39"/>
      <c r="Z491" s="39"/>
      <c r="AA491" s="39"/>
      <c r="AB491" s="37"/>
      <c r="AF491" s="257"/>
      <c r="AG491" s="236"/>
      <c r="AH491" s="237"/>
    </row>
    <row r="492" spans="1:34" ht="15" customHeight="1">
      <c r="A492" s="38"/>
      <c r="B492" s="233"/>
      <c r="C492" s="36"/>
      <c r="D492" s="39"/>
      <c r="E492" s="39"/>
      <c r="F492" s="235"/>
      <c r="G492" s="36"/>
      <c r="H492" s="39"/>
      <c r="I492" s="37"/>
      <c r="J492" s="38"/>
      <c r="K492" s="39"/>
      <c r="L492" s="39"/>
      <c r="M492" s="39"/>
      <c r="N492" s="39"/>
      <c r="O492" s="37"/>
      <c r="P492" s="38"/>
      <c r="Q492" s="39"/>
      <c r="R492" s="37"/>
      <c r="S492" s="38"/>
      <c r="T492" s="39"/>
      <c r="U492" s="37"/>
      <c r="V492" s="259"/>
      <c r="W492" s="38"/>
      <c r="X492" s="39"/>
      <c r="Y492" s="39"/>
      <c r="Z492" s="39"/>
      <c r="AA492" s="39"/>
      <c r="AB492" s="37"/>
      <c r="AF492" s="257"/>
      <c r="AG492" s="236"/>
      <c r="AH492" s="237"/>
    </row>
    <row r="493" spans="1:34" ht="15" customHeight="1">
      <c r="A493" s="38"/>
      <c r="B493" s="233"/>
      <c r="C493" s="36"/>
      <c r="D493" s="39"/>
      <c r="E493" s="39"/>
      <c r="F493" s="235"/>
      <c r="G493" s="36"/>
      <c r="H493" s="39"/>
      <c r="I493" s="37"/>
      <c r="J493" s="38"/>
      <c r="K493" s="39"/>
      <c r="L493" s="39"/>
      <c r="M493" s="39"/>
      <c r="N493" s="39"/>
      <c r="O493" s="37"/>
      <c r="P493" s="38"/>
      <c r="Q493" s="39"/>
      <c r="R493" s="37"/>
      <c r="S493" s="38"/>
      <c r="T493" s="39"/>
      <c r="U493" s="37"/>
      <c r="V493" s="259"/>
      <c r="W493" s="38"/>
      <c r="X493" s="39"/>
      <c r="Y493" s="39"/>
      <c r="Z493" s="39"/>
      <c r="AA493" s="39"/>
      <c r="AB493" s="37"/>
      <c r="AF493" s="257"/>
      <c r="AG493" s="236"/>
      <c r="AH493" s="237"/>
    </row>
    <row r="494" spans="1:34" ht="15" customHeight="1">
      <c r="A494" s="38"/>
      <c r="B494" s="233"/>
      <c r="C494" s="36"/>
      <c r="D494" s="39"/>
      <c r="E494" s="39"/>
      <c r="F494" s="235"/>
      <c r="G494" s="36"/>
      <c r="H494" s="39"/>
      <c r="I494" s="37"/>
      <c r="J494" s="38"/>
      <c r="K494" s="39"/>
      <c r="L494" s="39"/>
      <c r="M494" s="39"/>
      <c r="N494" s="39"/>
      <c r="O494" s="37"/>
      <c r="P494" s="38"/>
      <c r="Q494" s="39"/>
      <c r="R494" s="37"/>
      <c r="S494" s="38"/>
      <c r="T494" s="39"/>
      <c r="U494" s="37"/>
      <c r="V494" s="259"/>
      <c r="W494" s="38"/>
      <c r="X494" s="39"/>
      <c r="Y494" s="39"/>
      <c r="Z494" s="39"/>
      <c r="AA494" s="39"/>
      <c r="AB494" s="37"/>
      <c r="AF494" s="257"/>
      <c r="AG494" s="236"/>
      <c r="AH494" s="237"/>
    </row>
    <row r="495" spans="1:34" ht="15" customHeight="1">
      <c r="A495" s="38"/>
      <c r="B495" s="233"/>
      <c r="C495" s="36"/>
      <c r="D495" s="39"/>
      <c r="E495" s="39"/>
      <c r="F495" s="235"/>
      <c r="G495" s="36"/>
      <c r="H495" s="39"/>
      <c r="I495" s="37"/>
      <c r="J495" s="38"/>
      <c r="K495" s="39"/>
      <c r="L495" s="39"/>
      <c r="M495" s="39"/>
      <c r="N495" s="39"/>
      <c r="O495" s="37"/>
      <c r="P495" s="38"/>
      <c r="Q495" s="39"/>
      <c r="R495" s="37"/>
      <c r="S495" s="38"/>
      <c r="T495" s="39"/>
      <c r="U495" s="37"/>
      <c r="V495" s="259"/>
      <c r="W495" s="38"/>
      <c r="X495" s="39"/>
      <c r="Y495" s="39"/>
      <c r="Z495" s="39"/>
      <c r="AA495" s="39"/>
      <c r="AB495" s="37"/>
      <c r="AF495" s="257"/>
      <c r="AG495" s="236"/>
      <c r="AH495" s="237"/>
    </row>
    <row r="496" spans="1:34" ht="15" customHeight="1">
      <c r="A496" s="38"/>
      <c r="B496" s="233"/>
      <c r="C496" s="36"/>
      <c r="D496" s="39"/>
      <c r="E496" s="39"/>
      <c r="F496" s="235"/>
      <c r="G496" s="36"/>
      <c r="H496" s="39"/>
      <c r="I496" s="37"/>
      <c r="J496" s="38"/>
      <c r="K496" s="39"/>
      <c r="L496" s="39"/>
      <c r="M496" s="39"/>
      <c r="N496" s="39"/>
      <c r="O496" s="37"/>
      <c r="P496" s="38"/>
      <c r="Q496" s="39"/>
      <c r="R496" s="37"/>
      <c r="S496" s="38"/>
      <c r="T496" s="39"/>
      <c r="U496" s="37"/>
      <c r="V496" s="259"/>
      <c r="W496" s="38"/>
      <c r="X496" s="39"/>
      <c r="Y496" s="39"/>
      <c r="Z496" s="39"/>
      <c r="AA496" s="39"/>
      <c r="AB496" s="37"/>
      <c r="AF496" s="257"/>
      <c r="AG496" s="236"/>
      <c r="AH496" s="237"/>
    </row>
    <row r="497" spans="1:34" ht="15" customHeight="1">
      <c r="A497" s="38"/>
      <c r="B497" s="233"/>
      <c r="C497" s="36"/>
      <c r="D497" s="39"/>
      <c r="E497" s="39"/>
      <c r="F497" s="235"/>
      <c r="G497" s="36"/>
      <c r="H497" s="39"/>
      <c r="I497" s="37"/>
      <c r="J497" s="38"/>
      <c r="K497" s="39"/>
      <c r="L497" s="39"/>
      <c r="M497" s="39"/>
      <c r="N497" s="39"/>
      <c r="O497" s="37"/>
      <c r="P497" s="38"/>
      <c r="Q497" s="39"/>
      <c r="R497" s="37"/>
      <c r="S497" s="38"/>
      <c r="T497" s="39"/>
      <c r="U497" s="37"/>
      <c r="V497" s="259"/>
      <c r="W497" s="38"/>
      <c r="X497" s="39"/>
      <c r="Y497" s="39"/>
      <c r="Z497" s="39"/>
      <c r="AA497" s="39"/>
      <c r="AB497" s="37"/>
      <c r="AF497" s="257"/>
      <c r="AG497" s="236"/>
      <c r="AH497" s="237"/>
    </row>
    <row r="498" spans="1:34" ht="15" customHeight="1">
      <c r="A498" s="38"/>
      <c r="B498" s="233"/>
      <c r="C498" s="36"/>
      <c r="D498" s="39"/>
      <c r="E498" s="39"/>
      <c r="F498" s="235"/>
      <c r="G498" s="36"/>
      <c r="H498" s="39"/>
      <c r="I498" s="37"/>
      <c r="J498" s="38"/>
      <c r="K498" s="39"/>
      <c r="L498" s="39"/>
      <c r="M498" s="39"/>
      <c r="N498" s="39"/>
      <c r="O498" s="37"/>
      <c r="P498" s="38"/>
      <c r="Q498" s="39"/>
      <c r="R498" s="37"/>
      <c r="S498" s="38"/>
      <c r="T498" s="39"/>
      <c r="U498" s="37"/>
      <c r="V498" s="259"/>
      <c r="W498" s="38"/>
      <c r="X498" s="39"/>
      <c r="Y498" s="39"/>
      <c r="Z498" s="39"/>
      <c r="AA498" s="39"/>
      <c r="AB498" s="37"/>
      <c r="AF498" s="257"/>
      <c r="AG498" s="236"/>
      <c r="AH498" s="237"/>
    </row>
    <row r="499" spans="1:34" ht="15" customHeight="1">
      <c r="A499" s="38"/>
      <c r="B499" s="233"/>
      <c r="C499" s="36"/>
      <c r="D499" s="39"/>
      <c r="E499" s="39"/>
      <c r="F499" s="235"/>
      <c r="G499" s="36"/>
      <c r="H499" s="39"/>
      <c r="I499" s="37"/>
      <c r="J499" s="38"/>
      <c r="K499" s="39"/>
      <c r="L499" s="39"/>
      <c r="M499" s="39"/>
      <c r="N499" s="39"/>
      <c r="O499" s="37"/>
      <c r="P499" s="38"/>
      <c r="Q499" s="39"/>
      <c r="R499" s="37"/>
      <c r="S499" s="38"/>
      <c r="T499" s="39"/>
      <c r="U499" s="37"/>
      <c r="V499" s="259"/>
      <c r="W499" s="38"/>
      <c r="X499" s="39"/>
      <c r="Y499" s="39"/>
      <c r="Z499" s="39"/>
      <c r="AA499" s="39"/>
      <c r="AB499" s="37"/>
      <c r="AF499" s="257"/>
      <c r="AG499" s="236"/>
      <c r="AH499" s="237"/>
    </row>
    <row r="500" spans="1:34" ht="15" customHeight="1">
      <c r="A500" s="38"/>
      <c r="B500" s="233"/>
      <c r="C500" s="36"/>
      <c r="D500" s="39"/>
      <c r="E500" s="39"/>
      <c r="F500" s="235"/>
      <c r="G500" s="36"/>
      <c r="H500" s="39"/>
      <c r="I500" s="37"/>
      <c r="J500" s="38"/>
      <c r="K500" s="39"/>
      <c r="L500" s="39"/>
      <c r="M500" s="39"/>
      <c r="N500" s="39"/>
      <c r="O500" s="37"/>
      <c r="P500" s="38"/>
      <c r="Q500" s="39"/>
      <c r="R500" s="37"/>
      <c r="S500" s="38"/>
      <c r="T500" s="39"/>
      <c r="U500" s="37"/>
      <c r="V500" s="259"/>
      <c r="W500" s="38"/>
      <c r="X500" s="39"/>
      <c r="Y500" s="39"/>
      <c r="Z500" s="39"/>
      <c r="AA500" s="39"/>
      <c r="AB500" s="37"/>
      <c r="AF500" s="257"/>
      <c r="AG500" s="236"/>
      <c r="AH500" s="237"/>
    </row>
    <row r="501" spans="1:34" ht="15" customHeight="1">
      <c r="A501" s="38"/>
      <c r="B501" s="233"/>
      <c r="C501" s="36"/>
      <c r="D501" s="39"/>
      <c r="E501" s="39"/>
      <c r="F501" s="235"/>
      <c r="G501" s="36"/>
      <c r="H501" s="39"/>
      <c r="I501" s="37"/>
      <c r="J501" s="38"/>
      <c r="K501" s="39"/>
      <c r="L501" s="39"/>
      <c r="M501" s="39"/>
      <c r="N501" s="39"/>
      <c r="O501" s="37"/>
      <c r="P501" s="38"/>
      <c r="Q501" s="39"/>
      <c r="R501" s="37"/>
      <c r="S501" s="38"/>
      <c r="T501" s="39"/>
      <c r="U501" s="37"/>
      <c r="V501" s="259"/>
      <c r="W501" s="38"/>
      <c r="X501" s="39"/>
      <c r="Y501" s="39"/>
      <c r="Z501" s="39"/>
      <c r="AA501" s="39"/>
      <c r="AB501" s="37"/>
      <c r="AF501" s="257"/>
      <c r="AG501" s="236"/>
      <c r="AH501" s="237"/>
    </row>
    <row r="502" spans="1:34" ht="15" customHeight="1">
      <c r="A502" s="38"/>
      <c r="B502" s="233"/>
      <c r="C502" s="36"/>
      <c r="D502" s="39"/>
      <c r="E502" s="39"/>
      <c r="F502" s="235"/>
      <c r="G502" s="36"/>
      <c r="H502" s="39"/>
      <c r="I502" s="37"/>
      <c r="J502" s="38"/>
      <c r="K502" s="39"/>
      <c r="L502" s="39"/>
      <c r="M502" s="39"/>
      <c r="N502" s="39"/>
      <c r="O502" s="37"/>
      <c r="P502" s="38"/>
      <c r="Q502" s="39"/>
      <c r="R502" s="37"/>
      <c r="S502" s="38"/>
      <c r="T502" s="39"/>
      <c r="U502" s="37"/>
      <c r="V502" s="259"/>
      <c r="W502" s="38"/>
      <c r="X502" s="39"/>
      <c r="Y502" s="39"/>
      <c r="Z502" s="39"/>
      <c r="AA502" s="39"/>
      <c r="AB502" s="37"/>
      <c r="AF502" s="257"/>
      <c r="AG502" s="236"/>
      <c r="AH502" s="237"/>
    </row>
    <row r="503" spans="1:34" ht="15" customHeight="1">
      <c r="A503" s="38"/>
      <c r="B503" s="233"/>
      <c r="C503" s="36"/>
      <c r="D503" s="39"/>
      <c r="E503" s="39"/>
      <c r="F503" s="235"/>
      <c r="G503" s="36"/>
      <c r="H503" s="39"/>
      <c r="I503" s="37"/>
      <c r="J503" s="38"/>
      <c r="K503" s="39"/>
      <c r="L503" s="39"/>
      <c r="M503" s="39"/>
      <c r="N503" s="39"/>
      <c r="O503" s="37"/>
      <c r="P503" s="38"/>
      <c r="Q503" s="39"/>
      <c r="R503" s="37"/>
      <c r="S503" s="38"/>
      <c r="T503" s="39"/>
      <c r="U503" s="37"/>
      <c r="V503" s="259"/>
      <c r="W503" s="38"/>
      <c r="X503" s="39"/>
      <c r="Y503" s="39"/>
      <c r="Z503" s="39"/>
      <c r="AA503" s="39"/>
      <c r="AB503" s="37"/>
      <c r="AF503" s="257"/>
      <c r="AG503" s="236"/>
      <c r="AH503" s="237"/>
    </row>
    <row r="504" spans="1:34" ht="15" customHeight="1">
      <c r="A504" s="38"/>
      <c r="B504" s="233"/>
      <c r="C504" s="36"/>
      <c r="D504" s="39"/>
      <c r="E504" s="39"/>
      <c r="F504" s="235"/>
      <c r="G504" s="36"/>
      <c r="H504" s="39"/>
      <c r="I504" s="37"/>
      <c r="J504" s="38"/>
      <c r="K504" s="39"/>
      <c r="L504" s="39"/>
      <c r="M504" s="39"/>
      <c r="N504" s="39"/>
      <c r="O504" s="37"/>
      <c r="P504" s="38"/>
      <c r="Q504" s="39"/>
      <c r="R504" s="37"/>
      <c r="S504" s="38"/>
      <c r="T504" s="39"/>
      <c r="U504" s="37"/>
      <c r="V504" s="259"/>
      <c r="W504" s="38"/>
      <c r="X504" s="39"/>
      <c r="Y504" s="39"/>
      <c r="Z504" s="39"/>
      <c r="AA504" s="39"/>
      <c r="AB504" s="37"/>
      <c r="AF504" s="257"/>
      <c r="AG504" s="236"/>
      <c r="AH504" s="237"/>
    </row>
    <row r="505" spans="1:34" ht="15" customHeight="1">
      <c r="A505" s="38"/>
      <c r="B505" s="233"/>
      <c r="C505" s="36"/>
      <c r="D505" s="39"/>
      <c r="E505" s="39"/>
      <c r="F505" s="235"/>
      <c r="G505" s="36"/>
      <c r="H505" s="39"/>
      <c r="I505" s="37"/>
      <c r="J505" s="38"/>
      <c r="K505" s="39"/>
      <c r="L505" s="39"/>
      <c r="M505" s="39"/>
      <c r="N505" s="39"/>
      <c r="O505" s="37"/>
      <c r="P505" s="38"/>
      <c r="Q505" s="39"/>
      <c r="R505" s="37"/>
      <c r="S505" s="38"/>
      <c r="T505" s="39"/>
      <c r="U505" s="37"/>
      <c r="V505" s="259"/>
      <c r="W505" s="38"/>
      <c r="X505" s="39"/>
      <c r="Y505" s="39"/>
      <c r="Z505" s="39"/>
      <c r="AA505" s="39"/>
      <c r="AB505" s="37"/>
      <c r="AF505" s="257"/>
      <c r="AG505" s="236"/>
      <c r="AH505" s="237"/>
    </row>
    <row r="506" spans="1:34" ht="15" customHeight="1">
      <c r="A506" s="38"/>
      <c r="B506" s="233"/>
      <c r="C506" s="36"/>
      <c r="D506" s="39"/>
      <c r="E506" s="39"/>
      <c r="F506" s="235"/>
      <c r="G506" s="36"/>
      <c r="H506" s="39"/>
      <c r="I506" s="37"/>
      <c r="J506" s="38"/>
      <c r="K506" s="39"/>
      <c r="L506" s="39"/>
      <c r="M506" s="39"/>
      <c r="N506" s="39"/>
      <c r="O506" s="37"/>
      <c r="P506" s="38"/>
      <c r="Q506" s="39"/>
      <c r="R506" s="37"/>
      <c r="S506" s="38"/>
      <c r="T506" s="39"/>
      <c r="U506" s="37"/>
      <c r="V506" s="259"/>
      <c r="W506" s="38"/>
      <c r="X506" s="39"/>
      <c r="Y506" s="39"/>
      <c r="Z506" s="39"/>
      <c r="AA506" s="39"/>
      <c r="AB506" s="37"/>
      <c r="AF506" s="257"/>
      <c r="AG506" s="236"/>
      <c r="AH506" s="237"/>
    </row>
    <row r="507" spans="1:34" ht="15" customHeight="1">
      <c r="A507" s="38"/>
      <c r="B507" s="233"/>
      <c r="C507" s="36"/>
      <c r="D507" s="39"/>
      <c r="E507" s="39"/>
      <c r="F507" s="235"/>
      <c r="G507" s="36"/>
      <c r="H507" s="39"/>
      <c r="I507" s="37"/>
      <c r="J507" s="38"/>
      <c r="K507" s="39"/>
      <c r="L507" s="39"/>
      <c r="M507" s="39"/>
      <c r="N507" s="39"/>
      <c r="O507" s="37"/>
      <c r="P507" s="38"/>
      <c r="Q507" s="39"/>
      <c r="R507" s="37"/>
      <c r="S507" s="38"/>
      <c r="T507" s="39"/>
      <c r="U507" s="37"/>
      <c r="V507" s="259"/>
      <c r="W507" s="38"/>
      <c r="X507" s="39"/>
      <c r="Y507" s="39"/>
      <c r="Z507" s="39"/>
      <c r="AA507" s="39"/>
      <c r="AB507" s="37"/>
      <c r="AF507" s="257"/>
      <c r="AG507" s="236"/>
      <c r="AH507" s="237"/>
    </row>
    <row r="508" spans="1:34" ht="15" customHeight="1">
      <c r="A508" s="38"/>
      <c r="B508" s="233"/>
      <c r="C508" s="36"/>
      <c r="D508" s="39"/>
      <c r="E508" s="39"/>
      <c r="F508" s="235"/>
      <c r="G508" s="36"/>
      <c r="H508" s="39"/>
      <c r="I508" s="37"/>
      <c r="J508" s="38"/>
      <c r="K508" s="39"/>
      <c r="L508" s="39"/>
      <c r="M508" s="39"/>
      <c r="N508" s="39"/>
      <c r="O508" s="37"/>
      <c r="P508" s="38"/>
      <c r="Q508" s="39"/>
      <c r="R508" s="37"/>
      <c r="S508" s="38"/>
      <c r="T508" s="39"/>
      <c r="U508" s="37"/>
      <c r="V508" s="259"/>
      <c r="W508" s="38"/>
      <c r="X508" s="39"/>
      <c r="Y508" s="39"/>
      <c r="Z508" s="39"/>
      <c r="AA508" s="39"/>
      <c r="AB508" s="37"/>
      <c r="AF508" s="257"/>
      <c r="AG508" s="236"/>
      <c r="AH508" s="237"/>
    </row>
    <row r="509" spans="1:34" ht="15" customHeight="1">
      <c r="A509" s="38"/>
      <c r="B509" s="233"/>
      <c r="C509" s="36"/>
      <c r="D509" s="39"/>
      <c r="E509" s="39"/>
      <c r="F509" s="235"/>
      <c r="G509" s="36"/>
      <c r="H509" s="39"/>
      <c r="I509" s="37"/>
      <c r="J509" s="38"/>
      <c r="K509" s="39"/>
      <c r="L509" s="39"/>
      <c r="M509" s="39"/>
      <c r="N509" s="39"/>
      <c r="O509" s="37"/>
      <c r="P509" s="38"/>
      <c r="Q509" s="39"/>
      <c r="R509" s="37"/>
      <c r="S509" s="38"/>
      <c r="T509" s="39"/>
      <c r="U509" s="37"/>
      <c r="V509" s="259"/>
      <c r="W509" s="38"/>
      <c r="X509" s="39"/>
      <c r="Y509" s="39"/>
      <c r="Z509" s="39"/>
      <c r="AA509" s="39"/>
      <c r="AB509" s="37"/>
      <c r="AF509" s="257"/>
      <c r="AG509" s="236"/>
      <c r="AH509" s="237"/>
    </row>
    <row r="510" spans="1:34" ht="15" customHeight="1">
      <c r="A510" s="38"/>
      <c r="B510" s="233"/>
      <c r="C510" s="36"/>
      <c r="D510" s="39"/>
      <c r="E510" s="39"/>
      <c r="F510" s="235"/>
      <c r="G510" s="36"/>
      <c r="H510" s="39"/>
      <c r="I510" s="37"/>
      <c r="J510" s="38"/>
      <c r="K510" s="39"/>
      <c r="L510" s="39"/>
      <c r="M510" s="39"/>
      <c r="N510" s="39"/>
      <c r="O510" s="37"/>
      <c r="P510" s="38"/>
      <c r="Q510" s="39"/>
      <c r="R510" s="37"/>
      <c r="S510" s="38"/>
      <c r="T510" s="39"/>
      <c r="U510" s="37"/>
      <c r="V510" s="259"/>
      <c r="W510" s="38"/>
      <c r="X510" s="39"/>
      <c r="Y510" s="39"/>
      <c r="Z510" s="39"/>
      <c r="AA510" s="39"/>
      <c r="AB510" s="37"/>
      <c r="AF510" s="257"/>
      <c r="AG510" s="236"/>
      <c r="AH510" s="237"/>
    </row>
    <row r="511" spans="1:34" ht="15" customHeight="1">
      <c r="A511" s="38"/>
      <c r="B511" s="233"/>
      <c r="C511" s="36"/>
      <c r="D511" s="39"/>
      <c r="E511" s="39"/>
      <c r="F511" s="235"/>
      <c r="G511" s="36"/>
      <c r="H511" s="39"/>
      <c r="I511" s="37"/>
      <c r="J511" s="38"/>
      <c r="K511" s="39"/>
      <c r="L511" s="39"/>
      <c r="M511" s="39"/>
      <c r="N511" s="39"/>
      <c r="O511" s="37"/>
      <c r="P511" s="38"/>
      <c r="Q511" s="39"/>
      <c r="R511" s="37"/>
      <c r="S511" s="38"/>
      <c r="T511" s="39"/>
      <c r="U511" s="37"/>
      <c r="V511" s="259"/>
      <c r="W511" s="38"/>
      <c r="X511" s="39"/>
      <c r="Y511" s="39"/>
      <c r="Z511" s="39"/>
      <c r="AA511" s="39"/>
      <c r="AB511" s="37"/>
      <c r="AF511" s="257"/>
      <c r="AG511" s="236"/>
      <c r="AH511" s="237"/>
    </row>
    <row r="512" spans="1:34" ht="15" customHeight="1">
      <c r="A512" s="38"/>
      <c r="B512" s="233"/>
      <c r="C512" s="36"/>
      <c r="D512" s="39"/>
      <c r="E512" s="39"/>
      <c r="F512" s="235"/>
      <c r="G512" s="36"/>
      <c r="H512" s="39"/>
      <c r="I512" s="37"/>
      <c r="J512" s="38"/>
      <c r="K512" s="39"/>
      <c r="L512" s="39"/>
      <c r="M512" s="39"/>
      <c r="N512" s="39"/>
      <c r="O512" s="37"/>
      <c r="P512" s="38"/>
      <c r="Q512" s="39"/>
      <c r="R512" s="37"/>
      <c r="S512" s="38"/>
      <c r="T512" s="39"/>
      <c r="U512" s="37"/>
      <c r="V512" s="259"/>
      <c r="W512" s="38"/>
      <c r="X512" s="39"/>
      <c r="Y512" s="39"/>
      <c r="Z512" s="39"/>
      <c r="AA512" s="39"/>
      <c r="AB512" s="37"/>
      <c r="AF512" s="257"/>
      <c r="AG512" s="236"/>
      <c r="AH512" s="237"/>
    </row>
    <row r="513" spans="1:34" ht="15" customHeight="1">
      <c r="A513" s="38"/>
      <c r="B513" s="233"/>
      <c r="C513" s="36"/>
      <c r="D513" s="39"/>
      <c r="E513" s="39"/>
      <c r="F513" s="235"/>
      <c r="G513" s="36"/>
      <c r="H513" s="39"/>
      <c r="I513" s="37"/>
      <c r="J513" s="38"/>
      <c r="K513" s="39"/>
      <c r="L513" s="39"/>
      <c r="M513" s="39"/>
      <c r="N513" s="39"/>
      <c r="O513" s="37"/>
      <c r="P513" s="38"/>
      <c r="Q513" s="39"/>
      <c r="R513" s="37"/>
      <c r="S513" s="38"/>
      <c r="T513" s="39"/>
      <c r="U513" s="37"/>
      <c r="V513" s="259"/>
      <c r="W513" s="38"/>
      <c r="X513" s="39"/>
      <c r="Y513" s="39"/>
      <c r="Z513" s="39"/>
      <c r="AA513" s="39"/>
      <c r="AB513" s="37"/>
      <c r="AF513" s="257"/>
      <c r="AG513" s="236"/>
      <c r="AH513" s="237"/>
    </row>
    <row r="514" spans="1:34" ht="15" customHeight="1">
      <c r="A514" s="38"/>
      <c r="B514" s="233"/>
      <c r="C514" s="36"/>
      <c r="D514" s="39"/>
      <c r="E514" s="39"/>
      <c r="F514" s="235"/>
      <c r="G514" s="36"/>
      <c r="H514" s="39"/>
      <c r="I514" s="37"/>
      <c r="J514" s="38"/>
      <c r="K514" s="39"/>
      <c r="L514" s="39"/>
      <c r="M514" s="39"/>
      <c r="N514" s="39"/>
      <c r="O514" s="37"/>
      <c r="P514" s="38"/>
      <c r="Q514" s="39"/>
      <c r="R514" s="37"/>
      <c r="S514" s="38"/>
      <c r="T514" s="39"/>
      <c r="U514" s="37"/>
      <c r="V514" s="259"/>
      <c r="W514" s="38"/>
      <c r="X514" s="39"/>
      <c r="Y514" s="39"/>
      <c r="Z514" s="39"/>
      <c r="AA514" s="39"/>
      <c r="AB514" s="37"/>
      <c r="AF514" s="257"/>
      <c r="AG514" s="236"/>
      <c r="AH514" s="237"/>
    </row>
    <row r="515" spans="1:34" ht="15" customHeight="1">
      <c r="A515" s="38"/>
      <c r="B515" s="233"/>
      <c r="C515" s="36"/>
      <c r="D515" s="39"/>
      <c r="E515" s="39"/>
      <c r="F515" s="235"/>
      <c r="G515" s="36"/>
      <c r="H515" s="39"/>
      <c r="I515" s="37"/>
      <c r="J515" s="38"/>
      <c r="K515" s="39"/>
      <c r="L515" s="39"/>
      <c r="M515" s="39"/>
      <c r="N515" s="39"/>
      <c r="O515" s="37"/>
      <c r="P515" s="38"/>
      <c r="Q515" s="39"/>
      <c r="R515" s="37"/>
      <c r="S515" s="38"/>
      <c r="T515" s="39"/>
      <c r="U515" s="37"/>
      <c r="V515" s="259"/>
      <c r="W515" s="38"/>
      <c r="X515" s="39"/>
      <c r="Y515" s="39"/>
      <c r="Z515" s="39"/>
      <c r="AA515" s="39"/>
      <c r="AB515" s="37"/>
      <c r="AF515" s="257"/>
      <c r="AG515" s="236"/>
      <c r="AH515" s="237"/>
    </row>
    <row r="516" spans="1:34" ht="15" customHeight="1">
      <c r="A516" s="38"/>
      <c r="B516" s="233"/>
      <c r="C516" s="36"/>
      <c r="D516" s="39"/>
      <c r="E516" s="39"/>
      <c r="F516" s="235"/>
      <c r="G516" s="36"/>
      <c r="H516" s="39"/>
      <c r="I516" s="37"/>
      <c r="J516" s="38"/>
      <c r="K516" s="39"/>
      <c r="L516" s="39"/>
      <c r="M516" s="39"/>
      <c r="N516" s="39"/>
      <c r="O516" s="37"/>
      <c r="P516" s="38"/>
      <c r="Q516" s="39"/>
      <c r="R516" s="37"/>
      <c r="S516" s="38"/>
      <c r="T516" s="39"/>
      <c r="U516" s="37"/>
      <c r="V516" s="259"/>
      <c r="W516" s="38"/>
      <c r="X516" s="39"/>
      <c r="Y516" s="39"/>
      <c r="Z516" s="39"/>
      <c r="AA516" s="39"/>
      <c r="AB516" s="37"/>
      <c r="AF516" s="257"/>
      <c r="AG516" s="236"/>
      <c r="AH516" s="237"/>
    </row>
    <row r="517" spans="1:34" ht="15" customHeight="1">
      <c r="A517" s="38"/>
      <c r="B517" s="233"/>
      <c r="C517" s="36"/>
      <c r="D517" s="39"/>
      <c r="E517" s="39"/>
      <c r="F517" s="235"/>
      <c r="G517" s="36"/>
      <c r="H517" s="39"/>
      <c r="I517" s="37"/>
      <c r="J517" s="38"/>
      <c r="K517" s="39"/>
      <c r="L517" s="39"/>
      <c r="M517" s="39"/>
      <c r="N517" s="39"/>
      <c r="O517" s="37"/>
      <c r="P517" s="38"/>
      <c r="Q517" s="39"/>
      <c r="R517" s="37"/>
      <c r="S517" s="38"/>
      <c r="T517" s="39"/>
      <c r="U517" s="37"/>
      <c r="V517" s="259"/>
      <c r="W517" s="38"/>
      <c r="X517" s="39"/>
      <c r="Y517" s="39"/>
      <c r="Z517" s="39"/>
      <c r="AA517" s="39"/>
      <c r="AB517" s="37"/>
      <c r="AF517" s="257"/>
      <c r="AG517" s="236"/>
      <c r="AH517" s="237"/>
    </row>
    <row r="518" spans="1:34" ht="15" customHeight="1">
      <c r="A518" s="38"/>
      <c r="B518" s="233"/>
      <c r="C518" s="36"/>
      <c r="D518" s="39"/>
      <c r="E518" s="39"/>
      <c r="F518" s="235"/>
      <c r="G518" s="36"/>
      <c r="H518" s="39"/>
      <c r="I518" s="37"/>
      <c r="J518" s="38"/>
      <c r="K518" s="39"/>
      <c r="L518" s="39"/>
      <c r="M518" s="39"/>
      <c r="N518" s="39"/>
      <c r="O518" s="37"/>
      <c r="P518" s="38"/>
      <c r="Q518" s="39"/>
      <c r="R518" s="37"/>
      <c r="S518" s="38"/>
      <c r="T518" s="39"/>
      <c r="U518" s="37"/>
      <c r="V518" s="259"/>
      <c r="W518" s="38"/>
      <c r="X518" s="39"/>
      <c r="Y518" s="39"/>
      <c r="Z518" s="39"/>
      <c r="AA518" s="39"/>
      <c r="AB518" s="37"/>
      <c r="AF518" s="257"/>
      <c r="AG518" s="236"/>
      <c r="AH518" s="237"/>
    </row>
    <row r="519" spans="1:34" ht="15" customHeight="1">
      <c r="A519" s="38"/>
      <c r="B519" s="233"/>
      <c r="C519" s="36"/>
      <c r="D519" s="39"/>
      <c r="E519" s="39"/>
      <c r="F519" s="235"/>
      <c r="G519" s="36"/>
      <c r="H519" s="39"/>
      <c r="I519" s="37"/>
      <c r="J519" s="38"/>
      <c r="K519" s="39"/>
      <c r="L519" s="39"/>
      <c r="M519" s="39"/>
      <c r="N519" s="39"/>
      <c r="O519" s="37"/>
      <c r="P519" s="38"/>
      <c r="Q519" s="39"/>
      <c r="R519" s="37"/>
      <c r="S519" s="38"/>
      <c r="T519" s="39"/>
      <c r="U519" s="37"/>
      <c r="V519" s="259"/>
      <c r="W519" s="38"/>
      <c r="X519" s="39"/>
      <c r="Y519" s="39"/>
      <c r="Z519" s="39"/>
      <c r="AA519" s="39"/>
      <c r="AB519" s="37"/>
      <c r="AF519" s="257"/>
      <c r="AG519" s="236"/>
      <c r="AH519" s="237"/>
    </row>
    <row r="520" spans="1:34" ht="15" customHeight="1">
      <c r="A520" s="38"/>
      <c r="B520" s="233"/>
      <c r="C520" s="36"/>
      <c r="D520" s="39"/>
      <c r="E520" s="39"/>
      <c r="F520" s="235"/>
      <c r="G520" s="36"/>
      <c r="H520" s="39"/>
      <c r="I520" s="37"/>
      <c r="J520" s="38"/>
      <c r="K520" s="39"/>
      <c r="L520" s="39"/>
      <c r="M520" s="39"/>
      <c r="N520" s="39"/>
      <c r="O520" s="37"/>
      <c r="P520" s="38"/>
      <c r="Q520" s="39"/>
      <c r="R520" s="37"/>
      <c r="S520" s="38"/>
      <c r="T520" s="39"/>
      <c r="U520" s="37"/>
      <c r="V520" s="259"/>
      <c r="W520" s="38"/>
      <c r="X520" s="39"/>
      <c r="Y520" s="39"/>
      <c r="Z520" s="39"/>
      <c r="AA520" s="39"/>
      <c r="AB520" s="37"/>
      <c r="AF520" s="257"/>
      <c r="AG520" s="236"/>
      <c r="AH520" s="237"/>
    </row>
    <row r="521" spans="1:34" ht="15" customHeight="1">
      <c r="A521" s="38"/>
      <c r="B521" s="233"/>
      <c r="C521" s="36"/>
      <c r="D521" s="39"/>
      <c r="E521" s="39"/>
      <c r="F521" s="235"/>
      <c r="G521" s="36"/>
      <c r="H521" s="39"/>
      <c r="I521" s="37"/>
      <c r="J521" s="38"/>
      <c r="K521" s="39"/>
      <c r="L521" s="39"/>
      <c r="M521" s="39"/>
      <c r="N521" s="39"/>
      <c r="O521" s="37"/>
      <c r="P521" s="38"/>
      <c r="Q521" s="39"/>
      <c r="R521" s="37"/>
      <c r="S521" s="38"/>
      <c r="T521" s="39"/>
      <c r="U521" s="37"/>
      <c r="V521" s="259"/>
      <c r="W521" s="38"/>
      <c r="X521" s="39"/>
      <c r="Y521" s="39"/>
      <c r="Z521" s="39"/>
      <c r="AA521" s="39"/>
      <c r="AB521" s="37"/>
      <c r="AF521" s="257"/>
      <c r="AG521" s="236"/>
      <c r="AH521" s="237"/>
    </row>
    <row r="522" spans="1:34" ht="15" customHeight="1">
      <c r="A522" s="38"/>
      <c r="B522" s="233"/>
      <c r="C522" s="36"/>
      <c r="D522" s="39"/>
      <c r="E522" s="39"/>
      <c r="F522" s="235"/>
      <c r="G522" s="36"/>
      <c r="H522" s="39"/>
      <c r="I522" s="37"/>
      <c r="J522" s="38"/>
      <c r="K522" s="39"/>
      <c r="L522" s="39"/>
      <c r="M522" s="39"/>
      <c r="N522" s="39"/>
      <c r="O522" s="37"/>
      <c r="P522" s="38"/>
      <c r="Q522" s="39"/>
      <c r="R522" s="37"/>
      <c r="S522" s="38"/>
      <c r="T522" s="39"/>
      <c r="U522" s="37"/>
      <c r="V522" s="259"/>
      <c r="W522" s="38"/>
      <c r="X522" s="39"/>
      <c r="Y522" s="39"/>
      <c r="Z522" s="39"/>
      <c r="AA522" s="39"/>
      <c r="AB522" s="37"/>
      <c r="AF522" s="257"/>
      <c r="AG522" s="236"/>
      <c r="AH522" s="237"/>
    </row>
    <row r="523" spans="1:34" ht="15" customHeight="1">
      <c r="A523" s="38"/>
      <c r="B523" s="233"/>
      <c r="C523" s="36"/>
      <c r="D523" s="39"/>
      <c r="E523" s="39"/>
      <c r="F523" s="235"/>
      <c r="G523" s="36"/>
      <c r="H523" s="39"/>
      <c r="I523" s="37"/>
      <c r="J523" s="38"/>
      <c r="K523" s="39"/>
      <c r="L523" s="39"/>
      <c r="M523" s="39"/>
      <c r="N523" s="39"/>
      <c r="O523" s="37"/>
      <c r="P523" s="38"/>
      <c r="Q523" s="39"/>
      <c r="R523" s="37"/>
      <c r="S523" s="38"/>
      <c r="T523" s="39"/>
      <c r="U523" s="37"/>
      <c r="V523" s="259"/>
      <c r="W523" s="38"/>
      <c r="X523" s="39"/>
      <c r="Y523" s="39"/>
      <c r="Z523" s="39"/>
      <c r="AA523" s="39"/>
      <c r="AB523" s="37"/>
      <c r="AF523" s="257"/>
      <c r="AG523" s="236"/>
      <c r="AH523" s="237"/>
    </row>
    <row r="524" spans="1:34" ht="15" customHeight="1">
      <c r="A524" s="38"/>
      <c r="B524" s="233"/>
      <c r="C524" s="36"/>
      <c r="D524" s="39"/>
      <c r="E524" s="39"/>
      <c r="F524" s="235"/>
      <c r="G524" s="36"/>
      <c r="H524" s="39"/>
      <c r="I524" s="37"/>
      <c r="J524" s="38"/>
      <c r="K524" s="39"/>
      <c r="L524" s="39"/>
      <c r="M524" s="39"/>
      <c r="N524" s="39"/>
      <c r="O524" s="37"/>
      <c r="P524" s="38"/>
      <c r="Q524" s="39"/>
      <c r="R524" s="37"/>
      <c r="S524" s="38"/>
      <c r="T524" s="39"/>
      <c r="U524" s="37"/>
      <c r="V524" s="259"/>
      <c r="W524" s="38"/>
      <c r="X524" s="39"/>
      <c r="Y524" s="39"/>
      <c r="Z524" s="39"/>
      <c r="AA524" s="39"/>
      <c r="AB524" s="37"/>
      <c r="AF524" s="257"/>
      <c r="AG524" s="236"/>
      <c r="AH524" s="237"/>
    </row>
    <row r="525" spans="1:34" ht="15" customHeight="1">
      <c r="A525" s="38"/>
      <c r="B525" s="233"/>
      <c r="C525" s="36"/>
      <c r="D525" s="39"/>
      <c r="E525" s="39"/>
      <c r="F525" s="235"/>
      <c r="G525" s="36"/>
      <c r="H525" s="39"/>
      <c r="I525" s="37"/>
      <c r="J525" s="38"/>
      <c r="K525" s="39"/>
      <c r="L525" s="39"/>
      <c r="M525" s="39"/>
      <c r="N525" s="39"/>
      <c r="O525" s="37"/>
      <c r="P525" s="38"/>
      <c r="Q525" s="39"/>
      <c r="R525" s="37"/>
      <c r="S525" s="38"/>
      <c r="T525" s="39"/>
      <c r="U525" s="37"/>
      <c r="V525" s="259"/>
      <c r="W525" s="38"/>
      <c r="X525" s="39"/>
      <c r="Y525" s="39"/>
      <c r="Z525" s="39"/>
      <c r="AA525" s="39"/>
      <c r="AB525" s="37"/>
      <c r="AF525" s="257"/>
      <c r="AG525" s="236"/>
      <c r="AH525" s="237"/>
    </row>
    <row r="526" spans="1:34" ht="15" customHeight="1">
      <c r="A526" s="38"/>
      <c r="B526" s="233"/>
      <c r="C526" s="36"/>
      <c r="D526" s="39"/>
      <c r="E526" s="39"/>
      <c r="F526" s="235"/>
      <c r="G526" s="36"/>
      <c r="H526" s="39"/>
      <c r="I526" s="37"/>
      <c r="J526" s="38"/>
      <c r="K526" s="39"/>
      <c r="L526" s="39"/>
      <c r="M526" s="39"/>
      <c r="N526" s="39"/>
      <c r="O526" s="37"/>
      <c r="P526" s="38"/>
      <c r="Q526" s="39"/>
      <c r="R526" s="37"/>
      <c r="S526" s="38"/>
      <c r="T526" s="39"/>
      <c r="U526" s="37"/>
      <c r="V526" s="259"/>
      <c r="W526" s="38"/>
      <c r="X526" s="39"/>
      <c r="Y526" s="39"/>
      <c r="Z526" s="39"/>
      <c r="AA526" s="39"/>
      <c r="AB526" s="37"/>
      <c r="AF526" s="257"/>
      <c r="AG526" s="236"/>
      <c r="AH526" s="237"/>
    </row>
    <row r="527" spans="1:34" ht="15" customHeight="1">
      <c r="A527" s="238"/>
      <c r="B527" s="239"/>
      <c r="C527" s="240"/>
      <c r="D527" s="241"/>
      <c r="E527" s="241"/>
      <c r="F527" s="242"/>
      <c r="G527" s="240"/>
      <c r="H527" s="241"/>
      <c r="I527" s="243"/>
      <c r="J527" s="238"/>
      <c r="K527" s="241"/>
      <c r="L527" s="241"/>
      <c r="M527" s="241"/>
      <c r="N527" s="241"/>
      <c r="O527" s="243"/>
      <c r="P527" s="238"/>
      <c r="Q527" s="241"/>
      <c r="R527" s="243"/>
      <c r="S527" s="238"/>
      <c r="T527" s="241"/>
      <c r="U527" s="243"/>
      <c r="V527" s="260"/>
      <c r="W527" s="238"/>
      <c r="X527" s="241"/>
      <c r="Y527" s="241"/>
      <c r="Z527" s="241"/>
      <c r="AA527" s="241"/>
      <c r="AB527" s="243"/>
      <c r="AF527" s="257"/>
      <c r="AG527" s="236"/>
      <c r="AH527" s="237"/>
    </row>
    <row r="528" spans="1:34" ht="15" customHeight="1">
      <c r="C528" s="206"/>
      <c r="D528" s="206"/>
      <c r="E528" s="206"/>
      <c r="F528" s="206"/>
      <c r="AF528" s="257"/>
      <c r="AG528" s="236"/>
      <c r="AH528" s="237"/>
    </row>
    <row r="529" spans="3:34" ht="15" customHeight="1">
      <c r="C529" s="206"/>
      <c r="D529" s="206"/>
      <c r="E529" s="206"/>
      <c r="F529" s="206"/>
      <c r="AF529" s="257"/>
      <c r="AG529" s="236"/>
      <c r="AH529" s="237"/>
    </row>
    <row r="530" spans="3:34" ht="15" customHeight="1">
      <c r="C530" s="206"/>
      <c r="D530" s="206"/>
      <c r="E530" s="206"/>
      <c r="F530" s="206"/>
      <c r="AF530" s="257"/>
      <c r="AG530" s="236"/>
      <c r="AH530" s="237"/>
    </row>
    <row r="531" spans="3:34" ht="15" customHeight="1">
      <c r="C531" s="206"/>
      <c r="D531" s="206"/>
      <c r="E531" s="206"/>
      <c r="F531" s="206"/>
      <c r="AF531" s="257"/>
      <c r="AG531" s="236"/>
      <c r="AH531" s="237"/>
    </row>
    <row r="532" spans="3:34" ht="15" customHeight="1">
      <c r="C532" s="206"/>
      <c r="D532" s="206"/>
      <c r="E532" s="206"/>
      <c r="F532" s="206"/>
      <c r="AF532" s="257"/>
      <c r="AG532" s="236"/>
      <c r="AH532" s="237"/>
    </row>
    <row r="533" spans="3:34" ht="15" customHeight="1">
      <c r="C533" s="206"/>
      <c r="D533" s="206"/>
      <c r="E533" s="206"/>
      <c r="F533" s="206"/>
      <c r="AF533" s="257"/>
      <c r="AG533" s="236"/>
      <c r="AH533" s="237"/>
    </row>
    <row r="534" spans="3:34" ht="15" customHeight="1">
      <c r="C534" s="206"/>
      <c r="D534" s="206"/>
      <c r="E534" s="206"/>
      <c r="F534" s="206"/>
      <c r="AF534" s="257"/>
      <c r="AG534" s="236"/>
      <c r="AH534" s="237"/>
    </row>
    <row r="535" spans="3:34" ht="15" customHeight="1">
      <c r="C535" s="206"/>
      <c r="D535" s="206"/>
      <c r="E535" s="206"/>
      <c r="F535" s="206"/>
      <c r="AF535" s="257"/>
      <c r="AG535" s="236"/>
      <c r="AH535" s="237"/>
    </row>
    <row r="536" spans="3:34" ht="15" customHeight="1">
      <c r="AF536" s="257"/>
      <c r="AG536" s="236"/>
      <c r="AH536" s="237"/>
    </row>
    <row r="537" spans="3:34" ht="15" customHeight="1">
      <c r="AF537" s="257"/>
      <c r="AG537" s="236"/>
      <c r="AH537" s="237"/>
    </row>
    <row r="538" spans="3:34" ht="15" customHeight="1">
      <c r="AF538" s="257"/>
      <c r="AG538" s="236"/>
      <c r="AH538" s="237"/>
    </row>
    <row r="539" spans="3:34" ht="15" customHeight="1">
      <c r="AF539" s="257"/>
      <c r="AG539" s="236"/>
      <c r="AH539" s="237"/>
    </row>
    <row r="540" spans="3:34" ht="15" customHeight="1">
      <c r="AF540" s="257"/>
      <c r="AG540" s="236"/>
      <c r="AH540" s="237"/>
    </row>
    <row r="541" spans="3:34" ht="15" customHeight="1">
      <c r="AF541" s="257"/>
      <c r="AG541" s="236"/>
      <c r="AH541" s="237"/>
    </row>
    <row r="542" spans="3:34" ht="15" customHeight="1">
      <c r="AF542" s="257"/>
      <c r="AG542" s="236"/>
      <c r="AH542" s="237"/>
    </row>
    <row r="543" spans="3:34" ht="15" customHeight="1">
      <c r="AF543" s="257"/>
      <c r="AG543" s="236"/>
      <c r="AH543" s="237"/>
    </row>
    <row r="544" spans="3:34" ht="15" customHeight="1">
      <c r="AF544" s="257"/>
      <c r="AG544" s="236"/>
      <c r="AH544" s="237"/>
    </row>
    <row r="545" spans="32:34" ht="15" customHeight="1">
      <c r="AF545" s="257"/>
      <c r="AG545" s="236"/>
      <c r="AH545" s="237"/>
    </row>
    <row r="546" spans="32:34" ht="15" customHeight="1">
      <c r="AF546" s="257"/>
      <c r="AG546" s="236"/>
      <c r="AH546" s="237"/>
    </row>
    <row r="547" spans="32:34" ht="15" customHeight="1">
      <c r="AF547" s="257"/>
      <c r="AG547" s="236"/>
      <c r="AH547" s="237"/>
    </row>
    <row r="548" spans="32:34" ht="15" customHeight="1">
      <c r="AF548" s="257"/>
      <c r="AG548" s="236"/>
      <c r="AH548" s="237"/>
    </row>
    <row r="549" spans="32:34" ht="15" customHeight="1">
      <c r="AF549" s="257"/>
      <c r="AG549" s="236"/>
      <c r="AH549" s="237"/>
    </row>
    <row r="550" spans="32:34" ht="15" customHeight="1">
      <c r="AF550" s="257"/>
      <c r="AG550" s="236"/>
      <c r="AH550" s="237"/>
    </row>
    <row r="551" spans="32:34" ht="15" customHeight="1">
      <c r="AF551" s="257"/>
      <c r="AG551" s="236"/>
      <c r="AH551" s="237"/>
    </row>
    <row r="552" spans="32:34" ht="15" customHeight="1">
      <c r="AF552" s="257"/>
      <c r="AG552" s="236"/>
      <c r="AH552" s="237"/>
    </row>
    <row r="553" spans="32:34" ht="15" customHeight="1">
      <c r="AF553" s="257"/>
      <c r="AG553" s="236"/>
      <c r="AH553" s="237"/>
    </row>
    <row r="554" spans="32:34" ht="15" customHeight="1">
      <c r="AF554" s="257"/>
      <c r="AG554" s="236"/>
      <c r="AH554" s="237"/>
    </row>
    <row r="555" spans="32:34" ht="15" customHeight="1">
      <c r="AF555" s="257"/>
      <c r="AG555" s="236"/>
      <c r="AH555" s="237"/>
    </row>
    <row r="556" spans="32:34" ht="15" customHeight="1">
      <c r="AF556" s="257"/>
      <c r="AG556" s="236"/>
      <c r="AH556" s="237"/>
    </row>
    <row r="557" spans="32:34" ht="15" customHeight="1">
      <c r="AF557" s="257"/>
      <c r="AG557" s="236"/>
      <c r="AH557" s="237"/>
    </row>
    <row r="558" spans="32:34" ht="15" customHeight="1">
      <c r="AF558" s="257"/>
      <c r="AG558" s="236"/>
      <c r="AH558" s="237"/>
    </row>
    <row r="559" spans="32:34" ht="15" customHeight="1">
      <c r="AF559" s="257"/>
      <c r="AG559" s="236"/>
      <c r="AH559" s="237"/>
    </row>
    <row r="560" spans="32:34" ht="15" customHeight="1">
      <c r="AF560" s="257"/>
      <c r="AG560" s="236"/>
      <c r="AH560" s="237"/>
    </row>
    <row r="561" spans="32:34" ht="15" customHeight="1">
      <c r="AF561" s="257"/>
      <c r="AG561" s="236"/>
      <c r="AH561" s="237"/>
    </row>
    <row r="562" spans="32:34" ht="15" customHeight="1">
      <c r="AF562" s="257"/>
      <c r="AG562" s="236"/>
      <c r="AH562" s="237"/>
    </row>
    <row r="563" spans="32:34" ht="15" customHeight="1">
      <c r="AF563" s="257"/>
      <c r="AG563" s="236"/>
      <c r="AH563" s="237"/>
    </row>
    <row r="564" spans="32:34" ht="15" customHeight="1">
      <c r="AF564" s="257"/>
      <c r="AG564" s="236"/>
      <c r="AH564" s="237"/>
    </row>
    <row r="565" spans="32:34" ht="15" customHeight="1">
      <c r="AF565" s="257"/>
      <c r="AG565" s="236"/>
      <c r="AH565" s="237"/>
    </row>
    <row r="566" spans="32:34" ht="15" customHeight="1">
      <c r="AF566" s="257"/>
      <c r="AG566" s="236"/>
      <c r="AH566" s="237"/>
    </row>
    <row r="567" spans="32:34" ht="15" customHeight="1">
      <c r="AF567" s="257"/>
      <c r="AG567" s="236"/>
      <c r="AH567" s="237"/>
    </row>
    <row r="568" spans="32:34" ht="15" customHeight="1">
      <c r="AF568" s="257"/>
      <c r="AG568" s="236"/>
      <c r="AH568" s="237"/>
    </row>
    <row r="569" spans="32:34" ht="15" customHeight="1">
      <c r="AF569" s="257"/>
      <c r="AG569" s="236"/>
      <c r="AH569" s="237"/>
    </row>
    <row r="570" spans="32:34" ht="15" customHeight="1">
      <c r="AF570" s="257"/>
      <c r="AG570" s="236"/>
      <c r="AH570" s="237"/>
    </row>
    <row r="571" spans="32:34" ht="15" customHeight="1">
      <c r="AF571" s="257"/>
      <c r="AG571" s="236"/>
      <c r="AH571" s="237"/>
    </row>
    <row r="572" spans="32:34" ht="15" customHeight="1">
      <c r="AF572" s="257"/>
      <c r="AG572" s="236"/>
      <c r="AH572" s="237"/>
    </row>
    <row r="573" spans="32:34" ht="15" customHeight="1">
      <c r="AF573" s="257"/>
      <c r="AG573" s="236"/>
      <c r="AH573" s="237"/>
    </row>
    <row r="574" spans="32:34" ht="15" customHeight="1">
      <c r="AF574" s="257"/>
      <c r="AG574" s="236"/>
      <c r="AH574" s="237"/>
    </row>
    <row r="575" spans="32:34" ht="15" customHeight="1">
      <c r="AF575" s="257"/>
      <c r="AG575" s="236"/>
      <c r="AH575" s="237"/>
    </row>
    <row r="576" spans="32:34" ht="15" customHeight="1">
      <c r="AF576" s="257"/>
      <c r="AG576" s="236"/>
      <c r="AH576" s="237"/>
    </row>
    <row r="577" spans="32:34" ht="15" customHeight="1">
      <c r="AF577" s="257"/>
      <c r="AG577" s="236"/>
      <c r="AH577" s="237"/>
    </row>
    <row r="578" spans="32:34" ht="15" customHeight="1">
      <c r="AF578" s="257"/>
      <c r="AG578" s="236"/>
      <c r="AH578" s="237"/>
    </row>
    <row r="579" spans="32:34" ht="15" customHeight="1">
      <c r="AF579" s="257"/>
      <c r="AG579" s="236"/>
      <c r="AH579" s="237"/>
    </row>
    <row r="580" spans="32:34" ht="15" customHeight="1">
      <c r="AF580" s="257"/>
      <c r="AG580" s="236"/>
      <c r="AH580" s="237"/>
    </row>
    <row r="581" spans="32:34" ht="15" customHeight="1">
      <c r="AF581" s="257"/>
      <c r="AG581" s="236"/>
      <c r="AH581" s="237"/>
    </row>
    <row r="582" spans="32:34" ht="15" customHeight="1">
      <c r="AF582" s="257"/>
      <c r="AG582" s="236"/>
      <c r="AH582" s="237"/>
    </row>
    <row r="583" spans="32:34" ht="15" customHeight="1">
      <c r="AF583" s="257"/>
      <c r="AG583" s="236"/>
      <c r="AH583" s="237"/>
    </row>
    <row r="584" spans="32:34" ht="15" customHeight="1">
      <c r="AF584" s="257"/>
      <c r="AG584" s="236"/>
      <c r="AH584" s="237"/>
    </row>
    <row r="585" spans="32:34" ht="15" customHeight="1">
      <c r="AF585" s="257"/>
      <c r="AG585" s="236"/>
      <c r="AH585" s="237"/>
    </row>
    <row r="586" spans="32:34" ht="15" customHeight="1">
      <c r="AF586" s="257"/>
      <c r="AG586" s="236"/>
      <c r="AH586" s="237"/>
    </row>
    <row r="587" spans="32:34" ht="15" customHeight="1">
      <c r="AF587" s="257"/>
      <c r="AG587" s="236"/>
      <c r="AH587" s="237"/>
    </row>
    <row r="588" spans="32:34" ht="15" customHeight="1">
      <c r="AF588" s="257"/>
      <c r="AG588" s="236"/>
      <c r="AH588" s="237"/>
    </row>
    <row r="589" spans="32:34" ht="15" customHeight="1">
      <c r="AF589" s="257"/>
      <c r="AG589" s="236"/>
      <c r="AH589" s="237"/>
    </row>
    <row r="590" spans="32:34" ht="15" customHeight="1">
      <c r="AF590" s="257"/>
      <c r="AG590" s="236"/>
      <c r="AH590" s="237"/>
    </row>
    <row r="591" spans="32:34" ht="15" customHeight="1">
      <c r="AF591" s="257"/>
      <c r="AG591" s="236"/>
      <c r="AH591" s="237"/>
    </row>
    <row r="592" spans="32:34" ht="15" customHeight="1">
      <c r="AF592" s="257"/>
      <c r="AG592" s="236"/>
      <c r="AH592" s="237"/>
    </row>
    <row r="593" spans="32:34" ht="15" customHeight="1">
      <c r="AF593" s="257"/>
      <c r="AG593" s="236"/>
      <c r="AH593" s="237"/>
    </row>
    <row r="594" spans="32:34" ht="15" customHeight="1">
      <c r="AF594" s="257"/>
      <c r="AG594" s="236"/>
      <c r="AH594" s="237"/>
    </row>
    <row r="595" spans="32:34" ht="15" customHeight="1">
      <c r="AF595" s="257"/>
      <c r="AG595" s="236"/>
      <c r="AH595" s="237"/>
    </row>
    <row r="596" spans="32:34" ht="15" customHeight="1">
      <c r="AF596" s="257"/>
      <c r="AG596" s="236"/>
      <c r="AH596" s="237"/>
    </row>
    <row r="597" spans="32:34" ht="15" customHeight="1">
      <c r="AF597" s="257"/>
      <c r="AG597" s="236"/>
      <c r="AH597" s="237"/>
    </row>
    <row r="598" spans="32:34" ht="15" customHeight="1">
      <c r="AF598" s="257"/>
      <c r="AG598" s="236"/>
      <c r="AH598" s="237"/>
    </row>
    <row r="599" spans="32:34" ht="15" customHeight="1">
      <c r="AF599" s="257"/>
      <c r="AG599" s="236"/>
      <c r="AH599" s="237"/>
    </row>
    <row r="600" spans="32:34" ht="15" customHeight="1">
      <c r="AF600" s="257"/>
      <c r="AG600" s="236"/>
      <c r="AH600" s="237"/>
    </row>
    <row r="601" spans="32:34" ht="15" customHeight="1">
      <c r="AF601" s="257"/>
      <c r="AG601" s="236"/>
      <c r="AH601" s="237"/>
    </row>
    <row r="602" spans="32:34" ht="15" customHeight="1">
      <c r="AF602" s="257"/>
      <c r="AG602" s="236"/>
      <c r="AH602" s="237"/>
    </row>
    <row r="603" spans="32:34" ht="15" customHeight="1">
      <c r="AF603" s="257"/>
      <c r="AG603" s="236"/>
      <c r="AH603" s="237"/>
    </row>
    <row r="604" spans="32:34" ht="15" customHeight="1">
      <c r="AF604" s="257"/>
      <c r="AG604" s="236"/>
      <c r="AH604" s="237"/>
    </row>
    <row r="605" spans="32:34" ht="15" customHeight="1">
      <c r="AF605" s="257"/>
      <c r="AG605" s="236"/>
      <c r="AH605" s="237"/>
    </row>
    <row r="606" spans="32:34" ht="15" customHeight="1">
      <c r="AF606" s="257"/>
      <c r="AG606" s="236"/>
      <c r="AH606" s="237"/>
    </row>
    <row r="607" spans="32:34" ht="15" customHeight="1">
      <c r="AF607" s="257"/>
      <c r="AG607" s="236"/>
      <c r="AH607" s="237"/>
    </row>
    <row r="608" spans="32:34" ht="15" customHeight="1">
      <c r="AF608" s="257"/>
      <c r="AG608" s="236"/>
      <c r="AH608" s="237"/>
    </row>
    <row r="609" spans="32:34" ht="15" customHeight="1">
      <c r="AF609" s="257"/>
      <c r="AG609" s="236"/>
      <c r="AH609" s="237"/>
    </row>
    <row r="610" spans="32:34" ht="15" customHeight="1">
      <c r="AF610" s="257"/>
      <c r="AG610" s="236"/>
      <c r="AH610" s="237"/>
    </row>
    <row r="611" spans="32:34" ht="15" customHeight="1">
      <c r="AF611" s="257"/>
      <c r="AG611" s="236"/>
      <c r="AH611" s="237"/>
    </row>
    <row r="612" spans="32:34" ht="15" customHeight="1">
      <c r="AF612" s="257"/>
      <c r="AG612" s="236"/>
      <c r="AH612" s="237"/>
    </row>
    <row r="613" spans="32:34" ht="15" customHeight="1">
      <c r="AF613" s="257"/>
      <c r="AG613" s="236"/>
      <c r="AH613" s="237"/>
    </row>
    <row r="614" spans="32:34" ht="15" customHeight="1">
      <c r="AF614" s="257"/>
      <c r="AG614" s="236"/>
      <c r="AH614" s="237"/>
    </row>
    <row r="615" spans="32:34" ht="15" customHeight="1">
      <c r="AF615" s="257"/>
      <c r="AG615" s="236"/>
      <c r="AH615" s="237"/>
    </row>
    <row r="616" spans="32:34" ht="15" customHeight="1">
      <c r="AF616" s="257"/>
      <c r="AG616" s="236"/>
      <c r="AH616" s="237"/>
    </row>
    <row r="617" spans="32:34" ht="15" customHeight="1">
      <c r="AF617" s="257"/>
      <c r="AG617" s="236"/>
      <c r="AH617" s="237"/>
    </row>
    <row r="618" spans="32:34" ht="15" customHeight="1">
      <c r="AF618" s="257"/>
      <c r="AG618" s="236"/>
      <c r="AH618" s="237"/>
    </row>
    <row r="619" spans="32:34" ht="15" customHeight="1">
      <c r="AF619" s="257"/>
      <c r="AG619" s="236"/>
      <c r="AH619" s="237"/>
    </row>
    <row r="620" spans="32:34" ht="15" customHeight="1">
      <c r="AF620" s="257"/>
      <c r="AG620" s="236"/>
      <c r="AH620" s="237"/>
    </row>
    <row r="621" spans="32:34" ht="15" customHeight="1">
      <c r="AF621" s="257"/>
      <c r="AG621" s="236"/>
      <c r="AH621" s="237"/>
    </row>
    <row r="622" spans="32:34" ht="15" customHeight="1">
      <c r="AF622" s="257"/>
      <c r="AG622" s="236"/>
      <c r="AH622" s="237"/>
    </row>
    <row r="623" spans="32:34" ht="15" customHeight="1">
      <c r="AF623" s="257"/>
      <c r="AG623" s="236"/>
      <c r="AH623" s="237"/>
    </row>
    <row r="624" spans="32:34" ht="15" customHeight="1">
      <c r="AF624" s="257"/>
      <c r="AG624" s="236"/>
      <c r="AH624" s="237"/>
    </row>
    <row r="625" spans="32:34" ht="15" customHeight="1">
      <c r="AF625" s="257"/>
      <c r="AG625" s="236"/>
      <c r="AH625" s="237"/>
    </row>
    <row r="626" spans="32:34" ht="15" customHeight="1">
      <c r="AF626" s="257"/>
      <c r="AG626" s="236"/>
      <c r="AH626" s="237"/>
    </row>
    <row r="627" spans="32:34" ht="15" customHeight="1">
      <c r="AF627" s="257"/>
      <c r="AG627" s="236"/>
      <c r="AH627" s="237"/>
    </row>
    <row r="628" spans="32:34" ht="15" customHeight="1">
      <c r="AF628" s="257"/>
      <c r="AG628" s="236"/>
      <c r="AH628" s="237"/>
    </row>
    <row r="629" spans="32:34" ht="15" customHeight="1">
      <c r="AF629" s="257"/>
      <c r="AG629" s="236"/>
      <c r="AH629" s="237"/>
    </row>
    <row r="630" spans="32:34" ht="15" customHeight="1">
      <c r="AF630" s="257"/>
      <c r="AG630" s="236"/>
      <c r="AH630" s="237"/>
    </row>
    <row r="631" spans="32:34" ht="15" customHeight="1">
      <c r="AF631" s="257"/>
      <c r="AG631" s="236"/>
      <c r="AH631" s="237"/>
    </row>
    <row r="632" spans="32:34" ht="15" customHeight="1">
      <c r="AF632" s="257"/>
      <c r="AG632" s="236"/>
      <c r="AH632" s="237"/>
    </row>
    <row r="633" spans="32:34" ht="15" customHeight="1">
      <c r="AF633" s="257"/>
      <c r="AG633" s="236"/>
      <c r="AH633" s="237"/>
    </row>
    <row r="634" spans="32:34" ht="15" customHeight="1">
      <c r="AF634" s="257"/>
      <c r="AG634" s="236"/>
      <c r="AH634" s="237"/>
    </row>
    <row r="635" spans="32:34" ht="15" customHeight="1">
      <c r="AF635" s="257"/>
      <c r="AG635" s="236"/>
      <c r="AH635" s="237"/>
    </row>
    <row r="636" spans="32:34" ht="15" customHeight="1">
      <c r="AF636" s="257"/>
      <c r="AG636" s="236"/>
      <c r="AH636" s="237"/>
    </row>
    <row r="637" spans="32:34" ht="15" customHeight="1">
      <c r="AF637" s="257"/>
      <c r="AG637" s="236"/>
      <c r="AH637" s="237"/>
    </row>
    <row r="638" spans="32:34" ht="15" customHeight="1">
      <c r="AF638" s="257"/>
      <c r="AG638" s="236"/>
      <c r="AH638" s="237"/>
    </row>
    <row r="639" spans="32:34" ht="15" customHeight="1">
      <c r="AF639" s="257"/>
      <c r="AG639" s="236"/>
      <c r="AH639" s="237"/>
    </row>
    <row r="640" spans="32:34" ht="15" customHeight="1">
      <c r="AF640" s="257"/>
      <c r="AG640" s="236"/>
      <c r="AH640" s="237"/>
    </row>
    <row r="641" spans="32:34" ht="15" customHeight="1">
      <c r="AF641" s="257"/>
      <c r="AG641" s="236"/>
      <c r="AH641" s="237"/>
    </row>
    <row r="642" spans="32:34" ht="15" customHeight="1">
      <c r="AF642" s="257"/>
      <c r="AG642" s="236"/>
      <c r="AH642" s="237"/>
    </row>
    <row r="643" spans="32:34" ht="15" customHeight="1">
      <c r="AF643" s="257"/>
      <c r="AG643" s="236"/>
      <c r="AH643" s="237"/>
    </row>
    <row r="644" spans="32:34" ht="15" customHeight="1">
      <c r="AF644" s="257"/>
      <c r="AG644" s="236"/>
      <c r="AH644" s="237"/>
    </row>
    <row r="645" spans="32:34" ht="15" customHeight="1">
      <c r="AG645" s="236"/>
      <c r="AH645" s="237"/>
    </row>
    <row r="646" spans="32:34" ht="15" customHeight="1">
      <c r="AG646" s="236"/>
      <c r="AH646" s="237"/>
    </row>
    <row r="647" spans="32:34" ht="15" customHeight="1">
      <c r="AG647" s="236"/>
      <c r="AH647" s="237"/>
    </row>
    <row r="648" spans="32:34" ht="15" customHeight="1">
      <c r="AG648" s="236"/>
      <c r="AH648" s="237"/>
    </row>
    <row r="649" spans="32:34" ht="15" customHeight="1">
      <c r="AG649" s="236"/>
      <c r="AH649" s="237"/>
    </row>
    <row r="650" spans="32:34" ht="15" customHeight="1">
      <c r="AG650" s="236"/>
      <c r="AH650" s="237"/>
    </row>
    <row r="651" spans="32:34" ht="15" customHeight="1">
      <c r="AG651" s="236"/>
      <c r="AH651" s="237"/>
    </row>
    <row r="652" spans="32:34" ht="15" customHeight="1">
      <c r="AG652" s="236"/>
      <c r="AH652" s="237"/>
    </row>
    <row r="653" spans="32:34" ht="15" customHeight="1">
      <c r="AG653" s="236"/>
      <c r="AH653" s="237"/>
    </row>
    <row r="654" spans="32:34" ht="15" customHeight="1">
      <c r="AG654" s="236"/>
      <c r="AH654" s="237"/>
    </row>
    <row r="655" spans="32:34" ht="15" customHeight="1">
      <c r="AG655" s="236"/>
      <c r="AH655" s="237"/>
    </row>
    <row r="656" spans="32:34" ht="15" customHeight="1">
      <c r="AG656" s="236"/>
      <c r="AH656" s="237"/>
    </row>
    <row r="657" spans="33:34" ht="15" customHeight="1">
      <c r="AG657" s="236"/>
      <c r="AH657" s="237"/>
    </row>
    <row r="658" spans="33:34" ht="15" customHeight="1">
      <c r="AG658" s="236"/>
      <c r="AH658" s="237"/>
    </row>
    <row r="659" spans="33:34" ht="15" customHeight="1">
      <c r="AG659" s="236"/>
      <c r="AH659" s="237"/>
    </row>
    <row r="660" spans="33:34" ht="15" customHeight="1">
      <c r="AG660" s="236"/>
      <c r="AH660" s="237"/>
    </row>
    <row r="661" spans="33:34" ht="15" customHeight="1">
      <c r="AG661" s="236"/>
      <c r="AH661" s="237"/>
    </row>
    <row r="662" spans="33:34" ht="15" customHeight="1">
      <c r="AG662" s="236"/>
      <c r="AH662" s="237"/>
    </row>
    <row r="663" spans="33:34" ht="15" customHeight="1">
      <c r="AG663" s="236"/>
      <c r="AH663" s="237"/>
    </row>
    <row r="664" spans="33:34" ht="15" customHeight="1">
      <c r="AG664" s="236"/>
      <c r="AH664" s="237"/>
    </row>
    <row r="665" spans="33:34" ht="15" customHeight="1">
      <c r="AG665" s="236"/>
      <c r="AH665" s="237"/>
    </row>
    <row r="666" spans="33:34" ht="15" customHeight="1">
      <c r="AG666" s="236"/>
      <c r="AH666" s="237"/>
    </row>
    <row r="667" spans="33:34" ht="15" customHeight="1">
      <c r="AG667" s="236"/>
      <c r="AH667" s="237"/>
    </row>
    <row r="668" spans="33:34" ht="15" customHeight="1">
      <c r="AG668" s="236"/>
      <c r="AH668" s="237"/>
    </row>
    <row r="669" spans="33:34" ht="15" customHeight="1">
      <c r="AG669" s="236"/>
      <c r="AH669" s="237"/>
    </row>
    <row r="670" spans="33:34" ht="15" customHeight="1">
      <c r="AG670" s="236"/>
      <c r="AH670" s="237"/>
    </row>
    <row r="671" spans="33:34" ht="15" customHeight="1">
      <c r="AG671" s="236"/>
      <c r="AH671" s="237"/>
    </row>
    <row r="672" spans="33:34" ht="15" customHeight="1">
      <c r="AG672" s="236"/>
      <c r="AH672" s="237"/>
    </row>
    <row r="673" spans="33:34" ht="15" customHeight="1">
      <c r="AG673" s="236"/>
      <c r="AH673" s="237"/>
    </row>
    <row r="674" spans="33:34" ht="15" customHeight="1">
      <c r="AG674" s="236"/>
      <c r="AH674" s="237"/>
    </row>
    <row r="675" spans="33:34" ht="15" customHeight="1">
      <c r="AG675" s="236"/>
      <c r="AH675" s="237"/>
    </row>
    <row r="676" spans="33:34" ht="15" customHeight="1">
      <c r="AG676" s="236"/>
      <c r="AH676" s="237"/>
    </row>
    <row r="677" spans="33:34" ht="15" customHeight="1">
      <c r="AG677" s="236"/>
      <c r="AH677" s="237"/>
    </row>
    <row r="678" spans="33:34" ht="15" customHeight="1">
      <c r="AG678" s="236"/>
      <c r="AH678" s="237"/>
    </row>
    <row r="679" spans="33:34" ht="15" customHeight="1">
      <c r="AG679" s="236"/>
      <c r="AH679" s="237"/>
    </row>
    <row r="680" spans="33:34" ht="15" customHeight="1">
      <c r="AG680" s="236"/>
      <c r="AH680" s="237"/>
    </row>
    <row r="681" spans="33:34" ht="15" customHeight="1">
      <c r="AG681" s="236"/>
      <c r="AH681" s="237"/>
    </row>
    <row r="682" spans="33:34" ht="15" customHeight="1">
      <c r="AG682" s="236"/>
      <c r="AH682" s="237"/>
    </row>
    <row r="683" spans="33:34" ht="15" customHeight="1">
      <c r="AG683" s="236"/>
      <c r="AH683" s="237"/>
    </row>
    <row r="684" spans="33:34" ht="15" customHeight="1">
      <c r="AG684" s="236"/>
      <c r="AH684" s="237"/>
    </row>
    <row r="685" spans="33:34" ht="15" customHeight="1">
      <c r="AG685" s="236"/>
      <c r="AH685" s="237"/>
    </row>
    <row r="686" spans="33:34" ht="15" customHeight="1">
      <c r="AG686" s="236"/>
      <c r="AH686" s="237"/>
    </row>
    <row r="687" spans="33:34" ht="15" customHeight="1">
      <c r="AG687" s="236"/>
      <c r="AH687" s="237"/>
    </row>
    <row r="688" spans="33:34" ht="15" customHeight="1">
      <c r="AG688" s="236"/>
      <c r="AH688" s="237"/>
    </row>
    <row r="689" spans="33:34" ht="15" customHeight="1">
      <c r="AG689" s="236"/>
      <c r="AH689" s="237"/>
    </row>
    <row r="690" spans="33:34" ht="15" customHeight="1">
      <c r="AG690" s="236"/>
      <c r="AH690" s="237"/>
    </row>
    <row r="691" spans="33:34" ht="15" customHeight="1">
      <c r="AG691" s="236"/>
      <c r="AH691" s="237"/>
    </row>
    <row r="692" spans="33:34" ht="15" customHeight="1">
      <c r="AG692" s="236"/>
      <c r="AH692" s="237"/>
    </row>
    <row r="693" spans="33:34" ht="15" customHeight="1">
      <c r="AG693" s="236"/>
      <c r="AH693" s="237"/>
    </row>
    <row r="694" spans="33:34" ht="15" customHeight="1">
      <c r="AG694" s="236"/>
      <c r="AH694" s="237"/>
    </row>
    <row r="695" spans="33:34" ht="15" customHeight="1">
      <c r="AG695" s="236"/>
      <c r="AH695" s="237"/>
    </row>
    <row r="696" spans="33:34" ht="15" customHeight="1">
      <c r="AG696" s="236"/>
      <c r="AH696" s="237"/>
    </row>
    <row r="697" spans="33:34" ht="15" customHeight="1">
      <c r="AG697" s="236"/>
      <c r="AH697" s="237"/>
    </row>
    <row r="698" spans="33:34" ht="15" customHeight="1">
      <c r="AG698" s="236"/>
      <c r="AH698" s="237"/>
    </row>
    <row r="699" spans="33:34" ht="15" customHeight="1">
      <c r="AG699" s="236"/>
      <c r="AH699" s="237"/>
    </row>
    <row r="700" spans="33:34" ht="15" customHeight="1">
      <c r="AG700" s="236"/>
      <c r="AH700" s="237"/>
    </row>
    <row r="701" spans="33:34" ht="15" customHeight="1">
      <c r="AG701" s="236"/>
      <c r="AH701" s="237"/>
    </row>
    <row r="702" spans="33:34" ht="15" customHeight="1">
      <c r="AG702" s="236"/>
      <c r="AH702" s="237"/>
    </row>
    <row r="703" spans="33:34" ht="15" customHeight="1">
      <c r="AG703" s="236"/>
      <c r="AH703" s="237"/>
    </row>
    <row r="704" spans="33:34" ht="15" customHeight="1">
      <c r="AG704" s="236"/>
      <c r="AH704" s="237"/>
    </row>
    <row r="705" spans="33:34" ht="15" customHeight="1">
      <c r="AG705" s="236"/>
      <c r="AH705" s="237"/>
    </row>
    <row r="706" spans="33:34" ht="15" customHeight="1">
      <c r="AG706" s="236"/>
      <c r="AH706" s="237"/>
    </row>
    <row r="707" spans="33:34" ht="15" customHeight="1">
      <c r="AG707" s="236"/>
      <c r="AH707" s="237"/>
    </row>
    <row r="708" spans="33:34" ht="15" customHeight="1">
      <c r="AG708" s="236"/>
      <c r="AH708" s="237"/>
    </row>
    <row r="709" spans="33:34" ht="15" customHeight="1">
      <c r="AG709" s="236"/>
      <c r="AH709" s="237"/>
    </row>
    <row r="710" spans="33:34" ht="15" customHeight="1">
      <c r="AG710" s="236"/>
      <c r="AH710" s="237"/>
    </row>
    <row r="711" spans="33:34" ht="15" customHeight="1">
      <c r="AG711" s="236"/>
      <c r="AH711" s="237"/>
    </row>
    <row r="712" spans="33:34" ht="15" customHeight="1">
      <c r="AG712" s="236"/>
      <c r="AH712" s="237"/>
    </row>
    <row r="713" spans="33:34" ht="15" customHeight="1">
      <c r="AG713" s="236"/>
      <c r="AH713" s="237"/>
    </row>
    <row r="714" spans="33:34" ht="15" customHeight="1">
      <c r="AG714" s="236"/>
      <c r="AH714" s="237"/>
    </row>
    <row r="715" spans="33:34" ht="15" customHeight="1">
      <c r="AG715" s="236"/>
      <c r="AH715" s="237"/>
    </row>
    <row r="716" spans="33:34" ht="15" customHeight="1">
      <c r="AG716" s="236"/>
      <c r="AH716" s="237"/>
    </row>
    <row r="717" spans="33:34" ht="15" customHeight="1">
      <c r="AG717" s="236"/>
      <c r="AH717" s="237"/>
    </row>
    <row r="718" spans="33:34" ht="15" customHeight="1">
      <c r="AG718" s="236"/>
      <c r="AH718" s="237"/>
    </row>
    <row r="719" spans="33:34" ht="15" customHeight="1">
      <c r="AG719" s="236"/>
      <c r="AH719" s="237"/>
    </row>
    <row r="720" spans="33:34" ht="15" customHeight="1">
      <c r="AG720" s="236"/>
      <c r="AH720" s="237"/>
    </row>
    <row r="721" spans="33:34" ht="15" customHeight="1">
      <c r="AG721" s="236"/>
      <c r="AH721" s="237"/>
    </row>
    <row r="722" spans="33:34" ht="15" customHeight="1">
      <c r="AG722" s="236"/>
      <c r="AH722" s="237"/>
    </row>
    <row r="723" spans="33:34" ht="15" customHeight="1">
      <c r="AG723" s="236"/>
      <c r="AH723" s="237"/>
    </row>
    <row r="724" spans="33:34" ht="15" customHeight="1">
      <c r="AG724" s="236"/>
      <c r="AH724" s="237"/>
    </row>
    <row r="725" spans="33:34" ht="15" customHeight="1">
      <c r="AG725" s="236"/>
      <c r="AH725" s="237"/>
    </row>
    <row r="726" spans="33:34" ht="15" customHeight="1">
      <c r="AG726" s="236"/>
      <c r="AH726" s="237"/>
    </row>
    <row r="727" spans="33:34" ht="15" customHeight="1">
      <c r="AG727" s="236"/>
      <c r="AH727" s="237"/>
    </row>
    <row r="728" spans="33:34" ht="15" customHeight="1">
      <c r="AG728" s="236"/>
      <c r="AH728" s="237"/>
    </row>
    <row r="729" spans="33:34" ht="15" customHeight="1">
      <c r="AG729" s="236"/>
      <c r="AH729" s="237"/>
    </row>
    <row r="730" spans="33:34" ht="15" customHeight="1">
      <c r="AG730" s="236"/>
      <c r="AH730" s="237"/>
    </row>
    <row r="731" spans="33:34" ht="15" customHeight="1">
      <c r="AG731" s="236"/>
      <c r="AH731" s="237"/>
    </row>
    <row r="732" spans="33:34" ht="15" customHeight="1">
      <c r="AG732" s="236"/>
      <c r="AH732" s="237"/>
    </row>
    <row r="733" spans="33:34" ht="15" customHeight="1">
      <c r="AG733" s="236"/>
      <c r="AH733" s="237"/>
    </row>
    <row r="734" spans="33:34" ht="15" customHeight="1">
      <c r="AG734" s="236"/>
      <c r="AH734" s="237"/>
    </row>
    <row r="735" spans="33:34" ht="15" customHeight="1">
      <c r="AG735" s="236"/>
      <c r="AH735" s="237"/>
    </row>
    <row r="736" spans="33:34" ht="15" customHeight="1">
      <c r="AG736" s="236"/>
      <c r="AH736" s="237"/>
    </row>
    <row r="737" spans="33:34" ht="15" customHeight="1">
      <c r="AG737" s="236"/>
      <c r="AH737" s="237"/>
    </row>
    <row r="738" spans="33:34" ht="15" customHeight="1">
      <c r="AG738" s="236"/>
      <c r="AH738" s="237"/>
    </row>
    <row r="739" spans="33:34" ht="15" customHeight="1">
      <c r="AG739" s="236"/>
      <c r="AH739" s="237"/>
    </row>
    <row r="740" spans="33:34" ht="15" customHeight="1">
      <c r="AG740" s="236"/>
      <c r="AH740" s="237"/>
    </row>
    <row r="741" spans="33:34" ht="15" customHeight="1">
      <c r="AG741" s="236"/>
      <c r="AH741" s="237"/>
    </row>
    <row r="742" spans="33:34" ht="15" customHeight="1">
      <c r="AG742" s="236"/>
      <c r="AH742" s="237"/>
    </row>
    <row r="743" spans="33:34" ht="15" customHeight="1">
      <c r="AG743" s="236"/>
      <c r="AH743" s="237"/>
    </row>
    <row r="744" spans="33:34" ht="15" customHeight="1">
      <c r="AG744" s="236"/>
      <c r="AH744" s="237"/>
    </row>
    <row r="745" spans="33:34" ht="15" customHeight="1">
      <c r="AG745" s="236"/>
      <c r="AH745" s="237"/>
    </row>
    <row r="746" spans="33:34" ht="15" customHeight="1">
      <c r="AG746" s="236"/>
      <c r="AH746" s="237"/>
    </row>
    <row r="747" spans="33:34" ht="15" customHeight="1">
      <c r="AG747" s="236"/>
      <c r="AH747" s="237"/>
    </row>
    <row r="748" spans="33:34" ht="15" customHeight="1">
      <c r="AG748" s="236"/>
      <c r="AH748" s="237"/>
    </row>
    <row r="749" spans="33:34" ht="15" customHeight="1">
      <c r="AG749" s="236"/>
      <c r="AH749" s="237"/>
    </row>
    <row r="750" spans="33:34" ht="15" customHeight="1">
      <c r="AG750" s="244"/>
      <c r="AH750" s="245"/>
    </row>
    <row r="751" spans="33:34" ht="15" customHeight="1">
      <c r="AG751" s="246"/>
      <c r="AH751" s="247"/>
    </row>
    <row r="752" spans="33:34" ht="15" customHeight="1">
      <c r="AG752" s="246"/>
      <c r="AH752" s="247"/>
    </row>
    <row r="753" spans="33:34" ht="15" customHeight="1">
      <c r="AG753" s="246"/>
      <c r="AH753" s="247"/>
    </row>
    <row r="754" spans="33:34" ht="15" customHeight="1">
      <c r="AG754" s="248"/>
      <c r="AH754" s="249"/>
    </row>
  </sheetData>
  <autoFilter ref="D5:U181" xr:uid="{B8C06451-DD6A-4616-AE59-726DDB31F209}"/>
  <dataConsolidate/>
  <mergeCells count="29">
    <mergeCell ref="A1:B2"/>
    <mergeCell ref="W4:W5"/>
    <mergeCell ref="X4:X5"/>
    <mergeCell ref="Z4:Z5"/>
    <mergeCell ref="AA4:AA5"/>
    <mergeCell ref="C1:D2"/>
    <mergeCell ref="E1:F2"/>
    <mergeCell ref="G1:H2"/>
    <mergeCell ref="V3:V5"/>
    <mergeCell ref="Y4:Y5"/>
    <mergeCell ref="D3:F4"/>
    <mergeCell ref="AB4:AB5"/>
    <mergeCell ref="W3:AB3"/>
    <mergeCell ref="A3:A5"/>
    <mergeCell ref="B3:B5"/>
    <mergeCell ref="G3:U3"/>
    <mergeCell ref="C3:C5"/>
    <mergeCell ref="P4:R4"/>
    <mergeCell ref="S4:U4"/>
    <mergeCell ref="G4:I4"/>
    <mergeCell ref="J4:O4"/>
    <mergeCell ref="AG3:AH3"/>
    <mergeCell ref="AG4:AG5"/>
    <mergeCell ref="AH4:AH5"/>
    <mergeCell ref="AC3:AF3"/>
    <mergeCell ref="AC4:AC5"/>
    <mergeCell ref="AD4:AD5"/>
    <mergeCell ref="AE4:AE5"/>
    <mergeCell ref="AF4:AF5"/>
  </mergeCells>
  <dataValidations count="3">
    <dataValidation type="list" allowBlank="1" showInputMessage="1" showErrorMessage="1" sqref="F6:F19 F21:F579" xr:uid="{82F4BC41-55B7-4C7C-8EFB-A7E18824FC25}">
      <formula1>"AUS, USA, UK, CAN,USA, UK &amp; CAN, UK &amp; USA, UK &amp; AUS, AUS &amp;CAN, USA / UK / AUS / CAN, UK / AUS / CAN, "</formula1>
    </dataValidation>
    <dataValidation type="list" allowBlank="1" showInputMessage="1" showErrorMessage="1" sqref="C14:C15 C20:C29 C17:C18 C31:C48 C9:C10 C51:C528" xr:uid="{098E3187-9613-4B74-8C80-181652044E4C}">
      <formula1>"8.1,8.2,7.1,7.2"</formula1>
    </dataValidation>
    <dataValidation type="list" allowBlank="1" showInputMessage="1" showErrorMessage="1" sqref="D6:D677 E6:E524" xr:uid="{E68B8CC2-28FD-479F-89AC-036B3C5640F4}">
      <formula1>"0.5, 0.5 - 1.5, 1.5 - 3, 3-5, 5-7, 7-8,8-10,10+"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0CF5-6826-4800-9BE4-3619336B9F51}">
  <dimension ref="B1:Y36"/>
  <sheetViews>
    <sheetView workbookViewId="0">
      <selection activeCell="H12" sqref="H12"/>
    </sheetView>
  </sheetViews>
  <sheetFormatPr defaultColWidth="8.7109375" defaultRowHeight="12"/>
  <cols>
    <col min="1" max="1" width="3.28515625" style="47" customWidth="1"/>
    <col min="2" max="2" width="15.140625" style="46" bestFit="1" customWidth="1"/>
    <col min="3" max="3" width="14" style="47" bestFit="1" customWidth="1"/>
    <col min="4" max="4" width="2.85546875" style="47" customWidth="1"/>
    <col min="5" max="5" width="16.85546875" style="46" bestFit="1" customWidth="1"/>
    <col min="6" max="6" width="12.42578125" style="47" bestFit="1" customWidth="1"/>
    <col min="7" max="7" width="10.85546875" style="47" customWidth="1"/>
    <col min="8" max="8" width="11.42578125" style="47" bestFit="1" customWidth="1"/>
    <col min="9" max="9" width="12.7109375" style="47" bestFit="1" customWidth="1"/>
    <col min="10" max="10" width="11" style="47" customWidth="1"/>
    <col min="11" max="11" width="29" style="46" customWidth="1"/>
    <col min="12" max="12" width="16.85546875" style="47" customWidth="1"/>
    <col min="13" max="13" width="9.28515625" style="68" customWidth="1"/>
    <col min="14" max="14" width="15.140625" style="47" bestFit="1" customWidth="1"/>
    <col min="15" max="15" width="10.7109375" style="47" bestFit="1" customWidth="1"/>
    <col min="16" max="16" width="8.5703125" style="47" bestFit="1" customWidth="1"/>
    <col min="17" max="17" width="10.140625" style="47" bestFit="1" customWidth="1"/>
    <col min="18" max="18" width="8.85546875" style="47" bestFit="1" customWidth="1"/>
    <col min="19" max="19" width="3.5703125" style="47" bestFit="1" customWidth="1"/>
    <col min="20" max="20" width="6.85546875" style="47" bestFit="1" customWidth="1"/>
    <col min="21" max="22" width="11.28515625" style="47" bestFit="1" customWidth="1"/>
    <col min="23" max="23" width="10.42578125" style="47" bestFit="1" customWidth="1"/>
    <col min="24" max="24" width="11.28515625" style="47" bestFit="1" customWidth="1"/>
    <col min="25" max="25" width="14.140625" style="47" bestFit="1" customWidth="1"/>
    <col min="26" max="26" width="12.5703125" style="47" bestFit="1" customWidth="1"/>
    <col min="27" max="27" width="15.42578125" style="47" bestFit="1" customWidth="1"/>
    <col min="28" max="28" width="8.5703125" style="47" bestFit="1" customWidth="1"/>
    <col min="29" max="31" width="11.28515625" style="47" bestFit="1" customWidth="1"/>
    <col min="32" max="32" width="10.42578125" style="47" bestFit="1" customWidth="1"/>
    <col min="33" max="16384" width="8.7109375" style="47"/>
  </cols>
  <sheetData>
    <row r="1" spans="2:25">
      <c r="J1" s="48" t="s">
        <v>132</v>
      </c>
      <c r="K1" s="64" t="s">
        <v>132</v>
      </c>
      <c r="L1" s="48" t="s">
        <v>132</v>
      </c>
      <c r="M1" s="67" t="s">
        <v>132</v>
      </c>
      <c r="N1" s="48" t="s">
        <v>132</v>
      </c>
      <c r="O1" s="48" t="s">
        <v>132</v>
      </c>
      <c r="P1" s="48" t="s">
        <v>132</v>
      </c>
      <c r="Q1" s="48" t="s">
        <v>132</v>
      </c>
      <c r="R1" s="48" t="s">
        <v>132</v>
      </c>
      <c r="S1" s="48" t="s">
        <v>132</v>
      </c>
    </row>
    <row r="2" spans="2:25" ht="12.6" thickBot="1">
      <c r="B2" s="349" t="s">
        <v>344</v>
      </c>
      <c r="C2" s="350"/>
      <c r="E2" s="349" t="s">
        <v>345</v>
      </c>
      <c r="F2" s="350"/>
      <c r="H2" s="349" t="s">
        <v>346</v>
      </c>
      <c r="I2" s="350"/>
      <c r="K2" s="349" t="s">
        <v>91</v>
      </c>
      <c r="L2" s="350"/>
      <c r="O2" s="351" t="s">
        <v>347</v>
      </c>
      <c r="P2" s="352"/>
      <c r="Q2" s="352"/>
      <c r="R2" s="353"/>
    </row>
    <row r="3" spans="2:25" ht="12.6" thickBot="1">
      <c r="B3" s="75" t="s">
        <v>77</v>
      </c>
      <c r="C3" s="72" t="s">
        <v>348</v>
      </c>
      <c r="E3" s="75" t="s">
        <v>349</v>
      </c>
      <c r="F3" s="72" t="s">
        <v>348</v>
      </c>
      <c r="H3" s="78" t="s">
        <v>350</v>
      </c>
      <c r="I3" s="72" t="s">
        <v>351</v>
      </c>
      <c r="K3" s="65" t="s">
        <v>352</v>
      </c>
      <c r="L3" s="40" t="s">
        <v>351</v>
      </c>
      <c r="O3" s="50" t="s">
        <v>353</v>
      </c>
      <c r="P3" s="51" t="s">
        <v>83</v>
      </c>
      <c r="Q3" s="51" t="s">
        <v>84</v>
      </c>
      <c r="R3" s="52" t="s">
        <v>85</v>
      </c>
    </row>
    <row r="4" spans="2:25" ht="24">
      <c r="B4" s="73">
        <v>7</v>
      </c>
      <c r="C4" s="175">
        <v>26</v>
      </c>
      <c r="E4" s="73" t="s">
        <v>142</v>
      </c>
      <c r="F4" s="175">
        <v>49</v>
      </c>
      <c r="H4" s="77" t="s">
        <v>145</v>
      </c>
      <c r="I4" s="175">
        <v>19</v>
      </c>
      <c r="K4" s="44" t="s">
        <v>98</v>
      </c>
      <c r="L4" s="41">
        <f>COUNTIF(Curr!W6:W178,Tables!J1)</f>
        <v>54</v>
      </c>
      <c r="O4" s="53" t="s">
        <v>113</v>
      </c>
      <c r="P4" s="54">
        <f>COUNTIF(Curr!G6:G178,Tables!$P$3)</f>
        <v>17</v>
      </c>
      <c r="Q4" s="54">
        <f>COUNTIF(Curr!G6:G178,Tables!$Q$3)</f>
        <v>26</v>
      </c>
      <c r="R4" s="55">
        <f>COUNTIF(Curr!G6:G178,Tables!$R$3)</f>
        <v>21</v>
      </c>
    </row>
    <row r="5" spans="2:25" ht="24">
      <c r="B5" s="74">
        <v>7.1</v>
      </c>
      <c r="C5" s="176">
        <v>17</v>
      </c>
      <c r="E5" s="74" t="s">
        <v>134</v>
      </c>
      <c r="F5" s="176">
        <v>22</v>
      </c>
      <c r="H5" s="77" t="s">
        <v>142</v>
      </c>
      <c r="I5" s="176">
        <v>56</v>
      </c>
      <c r="K5" s="45" t="s">
        <v>99</v>
      </c>
      <c r="L5" s="42">
        <f>COUNTIF(Curr!X6:X178,Tables!K1)</f>
        <v>26</v>
      </c>
      <c r="O5" s="57" t="s">
        <v>114</v>
      </c>
      <c r="P5" s="58">
        <f>COUNTIF(Curr!H6:H178,Tables!$P$3)</f>
        <v>12</v>
      </c>
      <c r="Q5" s="58">
        <f>COUNTIF(Curr!H6:H178,Tables!$Q$3)</f>
        <v>33</v>
      </c>
      <c r="R5" s="59">
        <f>COUNTIF(Curr!H6:H178,Tables!$R$3)</f>
        <v>77</v>
      </c>
    </row>
    <row r="6" spans="2:25">
      <c r="B6" s="74">
        <v>7.2</v>
      </c>
      <c r="C6" s="176">
        <v>3</v>
      </c>
      <c r="E6" s="74" t="s">
        <v>139</v>
      </c>
      <c r="F6" s="176">
        <v>54</v>
      </c>
      <c r="H6" s="77" t="s">
        <v>139</v>
      </c>
      <c r="I6" s="176">
        <v>46</v>
      </c>
      <c r="K6" s="45" t="s">
        <v>100</v>
      </c>
      <c r="L6" s="42">
        <f>COUNTIF(Curr!Y6:Y178,Tables!L1)</f>
        <v>35</v>
      </c>
      <c r="O6" s="57" t="s">
        <v>115</v>
      </c>
      <c r="P6" s="58">
        <f>COUNTIF(Curr!I6:I178,Tables!$P$3)</f>
        <v>12</v>
      </c>
      <c r="Q6" s="58">
        <f>COUNTIF(Curr!I6:I178,Tables!$Q$3)</f>
        <v>21</v>
      </c>
      <c r="R6" s="59">
        <f>COUNTIF(Curr!I6:I178,Tables!$R$3)</f>
        <v>30</v>
      </c>
    </row>
    <row r="7" spans="2:25" ht="24">
      <c r="B7" s="74">
        <v>8</v>
      </c>
      <c r="C7" s="176">
        <v>37</v>
      </c>
      <c r="E7" s="74" t="s">
        <v>130</v>
      </c>
      <c r="F7" s="176">
        <v>19</v>
      </c>
      <c r="H7" s="77" t="s">
        <v>130</v>
      </c>
      <c r="I7" s="176">
        <v>15</v>
      </c>
      <c r="K7" s="45" t="s">
        <v>101</v>
      </c>
      <c r="L7" s="42">
        <f>COUNTIF(Curr!Z6:Z178,Tables!M1)</f>
        <v>145</v>
      </c>
      <c r="O7" s="57" t="s">
        <v>116</v>
      </c>
      <c r="P7" s="58">
        <f>COUNTIF(Curr!J6:J178,Tables!$P$3)</f>
        <v>9</v>
      </c>
      <c r="Q7" s="58">
        <f>COUNTIF(Curr!J6:J178,Tables!$Q$3)</f>
        <v>3</v>
      </c>
      <c r="R7" s="59">
        <f>COUNTIF(Curr!J6:J178,Tables!$R$3)</f>
        <v>7</v>
      </c>
    </row>
    <row r="8" spans="2:25">
      <c r="B8" s="74" t="s">
        <v>354</v>
      </c>
      <c r="C8" s="176">
        <v>1</v>
      </c>
      <c r="E8" s="74" t="s">
        <v>137</v>
      </c>
      <c r="F8" s="176">
        <v>9</v>
      </c>
      <c r="H8" s="77" t="s">
        <v>137</v>
      </c>
      <c r="I8" s="176">
        <v>10</v>
      </c>
      <c r="K8" s="45" t="s">
        <v>102</v>
      </c>
      <c r="L8" s="42">
        <f>COUNTIF(Curr!AA6:AA178,Tables!N1)</f>
        <v>25</v>
      </c>
      <c r="O8" s="57" t="s">
        <v>117</v>
      </c>
      <c r="P8" s="58">
        <f>COUNTIF(Curr!K6:K178,Tables!$P$3)</f>
        <v>15</v>
      </c>
      <c r="Q8" s="58">
        <f>COUNTIF(Curr!K6:K178,Tables!$Q$3)</f>
        <v>22</v>
      </c>
      <c r="R8" s="59">
        <f>COUNTIF(Curr!K6:K178,Tables!$R$3)</f>
        <v>33</v>
      </c>
      <c r="Y8" s="49"/>
    </row>
    <row r="9" spans="2:25" ht="24.6" thickBot="1">
      <c r="B9" s="74">
        <v>6</v>
      </c>
      <c r="C9" s="176">
        <v>7</v>
      </c>
      <c r="E9" s="74" t="s">
        <v>129</v>
      </c>
      <c r="F9" s="176">
        <v>6</v>
      </c>
      <c r="H9" s="77" t="s">
        <v>129</v>
      </c>
      <c r="I9" s="176">
        <v>9</v>
      </c>
      <c r="K9" s="66" t="s">
        <v>355</v>
      </c>
      <c r="L9" s="43">
        <f>COUNTIF(Curr!AB6:AB178,Tables!O1)</f>
        <v>22</v>
      </c>
      <c r="O9" s="57" t="s">
        <v>118</v>
      </c>
      <c r="P9" s="58">
        <f>COUNTIF(Curr!L6:L178,Tables!$P$3)</f>
        <v>9</v>
      </c>
      <c r="Q9" s="58">
        <f>COUNTIF(Curr!L6:L178,Tables!$Q$3)</f>
        <v>15</v>
      </c>
      <c r="R9" s="59">
        <f>COUNTIF(Curr!L6:L178,Tables!$R$3)</f>
        <v>20</v>
      </c>
    </row>
    <row r="10" spans="2:25" ht="24">
      <c r="B10" s="74">
        <v>8.1999999999999993</v>
      </c>
      <c r="C10" s="176">
        <v>18</v>
      </c>
      <c r="E10" s="74" t="s">
        <v>145</v>
      </c>
      <c r="F10" s="176">
        <v>7</v>
      </c>
      <c r="H10" s="77" t="s">
        <v>134</v>
      </c>
      <c r="I10" s="176">
        <v>8</v>
      </c>
      <c r="O10" s="57" t="s">
        <v>119</v>
      </c>
      <c r="P10" s="58">
        <f>COUNTIF(Curr!M6:M178,Tables!$P$3)</f>
        <v>15</v>
      </c>
      <c r="Q10" s="58">
        <f>COUNTIF(Curr!M6:M178,Tables!$Q$3)</f>
        <v>10</v>
      </c>
      <c r="R10" s="59">
        <f>COUNTIF(Curr!M6:M178,Tables!$R$3)</f>
        <v>25</v>
      </c>
    </row>
    <row r="11" spans="2:25" ht="24.6" thickBot="1">
      <c r="B11" s="74">
        <v>8.1</v>
      </c>
      <c r="C11" s="176">
        <v>57</v>
      </c>
      <c r="E11" s="76" t="s">
        <v>356</v>
      </c>
      <c r="F11" s="176">
        <v>1</v>
      </c>
      <c r="H11" s="77" t="s">
        <v>357</v>
      </c>
      <c r="I11" s="176">
        <v>2</v>
      </c>
      <c r="O11" s="57" t="s">
        <v>120</v>
      </c>
      <c r="P11" s="58">
        <f>COUNTIF(Curr!N6:N178,Tables!$P$3)</f>
        <v>15</v>
      </c>
      <c r="Q11" s="58">
        <f>COUNTIF(Curr!N6:N178,Tables!$Q$3)</f>
        <v>10</v>
      </c>
      <c r="R11" s="59">
        <f>COUNTIF(Curr!N6:N178,Tables!$R$3)</f>
        <v>10</v>
      </c>
    </row>
    <row r="12" spans="2:25" ht="12.6" thickBot="1">
      <c r="B12" s="76">
        <v>5</v>
      </c>
      <c r="C12" s="176">
        <v>1</v>
      </c>
      <c r="E12" s="75" t="s">
        <v>358</v>
      </c>
      <c r="F12" s="72">
        <v>167</v>
      </c>
      <c r="H12" s="77" t="s">
        <v>356</v>
      </c>
      <c r="I12" s="176">
        <v>1</v>
      </c>
      <c r="O12" s="57" t="s">
        <v>121</v>
      </c>
      <c r="P12" s="58">
        <f>COUNTIF(Curr!O6:O178,Tables!$P$3)</f>
        <v>13</v>
      </c>
      <c r="Q12" s="58">
        <f>COUNTIF(Curr!O6:O178,Tables!$Q$3)</f>
        <v>19</v>
      </c>
      <c r="R12" s="59">
        <f>COUNTIF(Curr!O6:O178,Tables!$R$3)</f>
        <v>30</v>
      </c>
    </row>
    <row r="13" spans="2:25" ht="24.6" thickBot="1">
      <c r="B13" s="75" t="s">
        <v>358</v>
      </c>
      <c r="C13" s="72">
        <v>167</v>
      </c>
      <c r="E13"/>
      <c r="F13"/>
      <c r="H13" s="75" t="s">
        <v>358</v>
      </c>
      <c r="I13" s="72">
        <v>166</v>
      </c>
      <c r="O13" s="57" t="s">
        <v>122</v>
      </c>
      <c r="P13" s="58">
        <f>COUNTIF(Curr!P6:P178,Tables!$P$3)</f>
        <v>10</v>
      </c>
      <c r="Q13" s="58">
        <f>COUNTIF(Curr!P6:P178,Tables!$Q$3)</f>
        <v>18</v>
      </c>
      <c r="R13" s="59">
        <f>COUNTIF(Curr!P6:P178,Tables!$R$3)</f>
        <v>49</v>
      </c>
    </row>
    <row r="14" spans="2:25" ht="15" thickBot="1">
      <c r="E14"/>
      <c r="F14"/>
      <c r="H14"/>
      <c r="I14"/>
      <c r="K14" s="351" t="s">
        <v>359</v>
      </c>
      <c r="L14" s="352"/>
      <c r="M14" s="353"/>
      <c r="O14" s="57" t="s">
        <v>123</v>
      </c>
      <c r="P14" s="58">
        <f>COUNTIF(Curr!Q6:Q178,Tables!$P$3)</f>
        <v>15</v>
      </c>
      <c r="Q14" s="58">
        <f>COUNTIF(Curr!Q6:Q178,Tables!$Q$3)</f>
        <v>16</v>
      </c>
      <c r="R14" s="59">
        <f>COUNTIF(Curr!Q6:Q178,Tables!$R$3)</f>
        <v>43</v>
      </c>
    </row>
    <row r="15" spans="2:25" ht="15" thickBot="1">
      <c r="B15" s="349" t="s">
        <v>360</v>
      </c>
      <c r="C15" s="350"/>
      <c r="H15"/>
      <c r="I15"/>
      <c r="K15" s="65" t="s">
        <v>361</v>
      </c>
      <c r="L15" s="51" t="s">
        <v>351</v>
      </c>
      <c r="M15" s="40" t="s">
        <v>362</v>
      </c>
      <c r="O15" s="57" t="s">
        <v>124</v>
      </c>
      <c r="P15" s="58">
        <f>COUNTIF(Curr!R6:R178,Tables!$P$3)</f>
        <v>14</v>
      </c>
      <c r="Q15" s="58">
        <f>COUNTIF(Curr!R6:R178,Tables!$Q$3)</f>
        <v>27</v>
      </c>
      <c r="R15" s="59">
        <f>COUNTIF(Curr!R6:R178,Tables!$R$3)</f>
        <v>67</v>
      </c>
    </row>
    <row r="16" spans="2:25" ht="24.6" thickBot="1">
      <c r="B16" s="75" t="s">
        <v>363</v>
      </c>
      <c r="C16" s="72" t="s">
        <v>364</v>
      </c>
      <c r="H16"/>
      <c r="I16"/>
      <c r="K16" s="44" t="s">
        <v>104</v>
      </c>
      <c r="L16" s="54">
        <f>COUNTIF(Curr!AC6:AC178,Tables!P1)</f>
        <v>116</v>
      </c>
      <c r="M16" s="69">
        <f>L16/GETPIVOTDATA("Employee Name",$B$3)</f>
        <v>0.69461077844311381</v>
      </c>
      <c r="O16" s="57" t="s">
        <v>125</v>
      </c>
      <c r="P16" s="58">
        <f>COUNTIF(Curr!S6:S178,Tables!$P$3)</f>
        <v>8</v>
      </c>
      <c r="Q16" s="58">
        <f>COUNTIF(Curr!S6:S178,Tables!$Q$3)</f>
        <v>13</v>
      </c>
      <c r="R16" s="59">
        <f>COUNTIF(Curr!S6:S178,Tables!$R$3)</f>
        <v>22</v>
      </c>
      <c r="V16" s="56"/>
    </row>
    <row r="17" spans="2:18" ht="24">
      <c r="B17" s="73" t="s">
        <v>143</v>
      </c>
      <c r="C17" s="175">
        <v>1</v>
      </c>
      <c r="I17" s="60"/>
      <c r="K17" s="45" t="s">
        <v>105</v>
      </c>
      <c r="L17" s="58">
        <f>COUNTIF(Curr!AD6:AD178,Tables!Q1)</f>
        <v>50</v>
      </c>
      <c r="M17" s="70">
        <f>L17/GETPIVOTDATA("Employee Name",$B$3)</f>
        <v>0.29940119760479039</v>
      </c>
      <c r="O17" s="57" t="s">
        <v>126</v>
      </c>
      <c r="P17" s="58">
        <f>COUNTIF(Curr!T6:T178,Tables!$P$3)</f>
        <v>5</v>
      </c>
      <c r="Q17" s="58">
        <f>COUNTIF(Curr!T6:T178,Tables!$Q$3)</f>
        <v>10</v>
      </c>
      <c r="R17" s="59">
        <f>COUNTIF(Curr!T6:T178,Tables!$R$3)</f>
        <v>17</v>
      </c>
    </row>
    <row r="18" spans="2:18" ht="24.6" thickBot="1">
      <c r="B18" s="74" t="s">
        <v>140</v>
      </c>
      <c r="C18" s="176">
        <v>8</v>
      </c>
      <c r="I18" s="60"/>
      <c r="K18" s="45" t="s">
        <v>106</v>
      </c>
      <c r="L18" s="58">
        <f>COUNTIF(Curr!AE6:AE178,Tables!R1)</f>
        <v>51</v>
      </c>
      <c r="M18" s="70">
        <f>L18/GETPIVOTDATA("Employee Name",$B$3)</f>
        <v>0.30538922155688625</v>
      </c>
      <c r="O18" s="61" t="s">
        <v>127</v>
      </c>
      <c r="P18" s="62">
        <f>COUNTIF(Curr!U6:U178,Tables!$P$3)</f>
        <v>7</v>
      </c>
      <c r="Q18" s="62">
        <f>COUNTIF(Curr!U6:U178,Tables!$Q$3)</f>
        <v>5</v>
      </c>
      <c r="R18" s="63">
        <f>COUNTIF(Curr!U6:U178,Tables!$R$3)</f>
        <v>11</v>
      </c>
    </row>
    <row r="19" spans="2:18" ht="12.6" thickBot="1">
      <c r="B19" s="74" t="s">
        <v>155</v>
      </c>
      <c r="C19" s="176">
        <v>4</v>
      </c>
      <c r="I19" s="60"/>
      <c r="K19" s="66" t="s">
        <v>107</v>
      </c>
      <c r="L19" s="62">
        <f>COUNTIF(Curr!AF6:AF178,Tables!S1)</f>
        <v>58</v>
      </c>
      <c r="M19" s="71">
        <f>L19/GETPIVOTDATA("Employee Name",$B$3)</f>
        <v>0.3473053892215569</v>
      </c>
    </row>
    <row r="20" spans="2:18">
      <c r="B20" s="74" t="s">
        <v>135</v>
      </c>
      <c r="C20" s="176">
        <v>124</v>
      </c>
      <c r="I20" s="60"/>
    </row>
    <row r="21" spans="2:18">
      <c r="B21" s="74" t="s">
        <v>354</v>
      </c>
      <c r="C21" s="176"/>
      <c r="I21" s="60"/>
    </row>
    <row r="22" spans="2:18">
      <c r="B22" s="74" t="s">
        <v>131</v>
      </c>
      <c r="C22" s="176">
        <v>12</v>
      </c>
      <c r="I22" s="60"/>
    </row>
    <row r="23" spans="2:18">
      <c r="B23" s="74" t="s">
        <v>147</v>
      </c>
      <c r="C23" s="176">
        <v>5</v>
      </c>
      <c r="I23" s="60"/>
    </row>
    <row r="24" spans="2:18">
      <c r="B24" s="74" t="s">
        <v>157</v>
      </c>
      <c r="C24" s="176">
        <v>1</v>
      </c>
      <c r="I24" s="60"/>
    </row>
    <row r="25" spans="2:18">
      <c r="B25" s="74" t="s">
        <v>188</v>
      </c>
      <c r="C25" s="176">
        <v>1</v>
      </c>
      <c r="I25" s="60"/>
    </row>
    <row r="26" spans="2:18">
      <c r="B26" s="74" t="s">
        <v>211</v>
      </c>
      <c r="C26" s="176">
        <v>2</v>
      </c>
      <c r="I26" s="60"/>
    </row>
    <row r="27" spans="2:18">
      <c r="B27" s="74" t="s">
        <v>239</v>
      </c>
      <c r="C27" s="176">
        <v>1</v>
      </c>
      <c r="I27" s="60"/>
    </row>
    <row r="28" spans="2:18">
      <c r="B28" s="74" t="s">
        <v>261</v>
      </c>
      <c r="C28" s="176">
        <v>1</v>
      </c>
      <c r="I28" s="60"/>
    </row>
    <row r="29" spans="2:18">
      <c r="B29" s="74" t="s">
        <v>288</v>
      </c>
      <c r="C29" s="176">
        <v>1</v>
      </c>
      <c r="I29" s="60"/>
    </row>
    <row r="30" spans="2:18">
      <c r="B30" s="74" t="s">
        <v>365</v>
      </c>
      <c r="C30" s="176">
        <v>1</v>
      </c>
      <c r="I30" s="60"/>
    </row>
    <row r="31" spans="2:18">
      <c r="B31" s="74" t="s">
        <v>300</v>
      </c>
      <c r="C31" s="176">
        <v>1</v>
      </c>
    </row>
    <row r="32" spans="2:18">
      <c r="B32" s="74" t="s">
        <v>304</v>
      </c>
      <c r="C32" s="176">
        <v>1</v>
      </c>
    </row>
    <row r="33" spans="2:3">
      <c r="B33" s="74" t="s">
        <v>309</v>
      </c>
      <c r="C33" s="176">
        <v>1</v>
      </c>
    </row>
    <row r="34" spans="2:3">
      <c r="B34" s="74" t="s">
        <v>312</v>
      </c>
      <c r="C34" s="176">
        <v>1</v>
      </c>
    </row>
    <row r="35" spans="2:3" ht="12.6" thickBot="1">
      <c r="B35" s="76" t="s">
        <v>316</v>
      </c>
      <c r="C35" s="176">
        <v>1</v>
      </c>
    </row>
    <row r="36" spans="2:3" ht="12.6" thickBot="1">
      <c r="B36" s="75" t="s">
        <v>358</v>
      </c>
      <c r="C36" s="72">
        <v>167</v>
      </c>
    </row>
  </sheetData>
  <mergeCells count="7">
    <mergeCell ref="B15:C15"/>
    <mergeCell ref="K2:L2"/>
    <mergeCell ref="O2:R2"/>
    <mergeCell ref="B2:C2"/>
    <mergeCell ref="E2:F2"/>
    <mergeCell ref="H2:I2"/>
    <mergeCell ref="K14:M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F4A58-AAB1-4578-90EB-CF7F2A68E1C9}">
  <dimension ref="A1:BE76"/>
  <sheetViews>
    <sheetView zoomScale="97" workbookViewId="0">
      <pane xSplit="8" ySplit="1" topLeftCell="I44" activePane="bottomRight" state="frozen"/>
      <selection pane="bottomRight" activeCell="J62" sqref="J62"/>
      <selection pane="bottomLeft" activeCell="A2" sqref="A2"/>
      <selection pane="topRight" activeCell="I1" sqref="I1"/>
    </sheetView>
  </sheetViews>
  <sheetFormatPr defaultColWidth="7.42578125" defaultRowHeight="15" customHeight="1"/>
  <cols>
    <col min="3" max="3" width="19.28515625" bestFit="1" customWidth="1"/>
    <col min="4" max="4" width="23.85546875" hidden="1" customWidth="1"/>
    <col min="5" max="5" width="47.85546875" bestFit="1" customWidth="1"/>
    <col min="6" max="6" width="42.42578125" hidden="1" customWidth="1"/>
    <col min="7" max="7" width="24.85546875" hidden="1" customWidth="1"/>
    <col min="8" max="8" width="7.7109375" bestFit="1" customWidth="1"/>
    <col min="9" max="10" width="9.42578125" style="150" customWidth="1"/>
    <col min="11" max="11" width="10" bestFit="1" customWidth="1"/>
    <col min="12" max="12" width="9.5703125" bestFit="1" customWidth="1"/>
  </cols>
  <sheetData>
    <row r="1" spans="1:57" ht="35.25" customHeight="1">
      <c r="A1" s="99" t="s">
        <v>75</v>
      </c>
      <c r="B1" s="100" t="s">
        <v>366</v>
      </c>
      <c r="C1" s="100" t="s">
        <v>353</v>
      </c>
      <c r="D1" s="100" t="s">
        <v>367</v>
      </c>
      <c r="E1" s="100" t="s">
        <v>368</v>
      </c>
      <c r="F1" s="101" t="s">
        <v>369</v>
      </c>
      <c r="G1" s="101" t="s">
        <v>370</v>
      </c>
      <c r="H1" s="159" t="s">
        <v>371</v>
      </c>
      <c r="I1" s="151" t="s">
        <v>372</v>
      </c>
      <c r="J1" s="152" t="s">
        <v>373</v>
      </c>
      <c r="K1" s="160" t="s">
        <v>158</v>
      </c>
      <c r="L1" s="119" t="s">
        <v>148</v>
      </c>
      <c r="M1" s="119" t="s">
        <v>150</v>
      </c>
      <c r="N1" s="119" t="s">
        <v>374</v>
      </c>
      <c r="O1" s="119" t="s">
        <v>375</v>
      </c>
      <c r="P1" s="119" t="s">
        <v>160</v>
      </c>
      <c r="Q1" s="119" t="s">
        <v>138</v>
      </c>
      <c r="R1" s="119" t="s">
        <v>156</v>
      </c>
      <c r="S1" s="119" t="s">
        <v>376</v>
      </c>
      <c r="T1" s="119" t="s">
        <v>377</v>
      </c>
      <c r="U1" s="119" t="s">
        <v>149</v>
      </c>
      <c r="V1" s="119" t="s">
        <v>279</v>
      </c>
      <c r="W1" s="119" t="s">
        <v>151</v>
      </c>
      <c r="X1" s="119" t="s">
        <v>163</v>
      </c>
      <c r="Y1" s="119" t="s">
        <v>378</v>
      </c>
      <c r="Z1" s="119" t="s">
        <v>161</v>
      </c>
      <c r="AA1" s="119" t="s">
        <v>141</v>
      </c>
      <c r="AB1" s="119" t="s">
        <v>154</v>
      </c>
      <c r="AC1" s="119" t="s">
        <v>169</v>
      </c>
      <c r="AD1" s="119" t="s">
        <v>170</v>
      </c>
      <c r="AE1" s="119" t="s">
        <v>144</v>
      </c>
      <c r="AF1" s="119" t="s">
        <v>379</v>
      </c>
      <c r="AG1" s="119" t="s">
        <v>164</v>
      </c>
      <c r="AH1" s="119" t="s">
        <v>165</v>
      </c>
      <c r="AI1" s="119" t="s">
        <v>146</v>
      </c>
      <c r="AJ1" s="119" t="s">
        <v>152</v>
      </c>
      <c r="AK1" s="119" t="s">
        <v>168</v>
      </c>
      <c r="AL1" s="119" t="s">
        <v>136</v>
      </c>
      <c r="AM1" s="119" t="s">
        <v>133</v>
      </c>
      <c r="AN1" s="119" t="s">
        <v>380</v>
      </c>
      <c r="AO1" s="119" t="s">
        <v>171</v>
      </c>
      <c r="AP1" s="119" t="s">
        <v>172</v>
      </c>
      <c r="AQ1" s="119" t="s">
        <v>173</v>
      </c>
      <c r="AR1" s="119" t="s">
        <v>174</v>
      </c>
      <c r="AS1" s="114" t="s">
        <v>175</v>
      </c>
      <c r="AT1" s="114" t="s">
        <v>176</v>
      </c>
      <c r="AU1" s="114" t="s">
        <v>177</v>
      </c>
      <c r="AV1" s="114" t="s">
        <v>178</v>
      </c>
      <c r="AW1" s="114" t="s">
        <v>179</v>
      </c>
      <c r="AX1" s="114" t="s">
        <v>180</v>
      </c>
      <c r="AY1" s="114" t="s">
        <v>181</v>
      </c>
      <c r="AZ1" s="114" t="s">
        <v>186</v>
      </c>
      <c r="BA1" s="114" t="s">
        <v>182</v>
      </c>
      <c r="BB1" s="114" t="s">
        <v>183</v>
      </c>
      <c r="BC1" s="114" t="s">
        <v>184</v>
      </c>
      <c r="BD1" s="114" t="s">
        <v>185</v>
      </c>
      <c r="BE1" s="114" t="s">
        <v>187</v>
      </c>
    </row>
    <row r="2" spans="1:57" ht="15.6">
      <c r="A2" s="102">
        <v>1</v>
      </c>
      <c r="B2" s="360" t="s">
        <v>381</v>
      </c>
      <c r="C2" s="363" t="s">
        <v>113</v>
      </c>
      <c r="D2" s="364" t="s">
        <v>382</v>
      </c>
      <c r="E2" s="103" t="s">
        <v>6</v>
      </c>
      <c r="F2" s="104"/>
      <c r="G2" s="105"/>
      <c r="H2" s="115" t="s">
        <v>383</v>
      </c>
      <c r="I2" s="153">
        <f>COUNTIF(K2:BE2,"P")</f>
        <v>0</v>
      </c>
      <c r="J2" s="154">
        <f>COUNTIF(K2:BE2,"O")</f>
        <v>44</v>
      </c>
      <c r="K2" s="135" t="s">
        <v>384</v>
      </c>
      <c r="L2" s="135" t="s">
        <v>384</v>
      </c>
      <c r="M2" s="135" t="s">
        <v>384</v>
      </c>
      <c r="N2" s="135" t="s">
        <v>384</v>
      </c>
      <c r="O2" s="135" t="s">
        <v>384</v>
      </c>
      <c r="P2" s="135" t="s">
        <v>384</v>
      </c>
      <c r="Q2" s="135" t="s">
        <v>384</v>
      </c>
      <c r="R2" s="135" t="s">
        <v>384</v>
      </c>
      <c r="S2" s="135" t="s">
        <v>384</v>
      </c>
      <c r="T2" s="135" t="s">
        <v>384</v>
      </c>
      <c r="U2" s="135" t="s">
        <v>384</v>
      </c>
      <c r="V2" s="124"/>
      <c r="W2" s="135" t="s">
        <v>384</v>
      </c>
      <c r="X2" s="135" t="s">
        <v>384</v>
      </c>
      <c r="Y2" s="135" t="s">
        <v>384</v>
      </c>
      <c r="Z2" s="135" t="s">
        <v>384</v>
      </c>
      <c r="AA2" s="135" t="s">
        <v>384</v>
      </c>
      <c r="AB2" s="135" t="s">
        <v>384</v>
      </c>
      <c r="AC2" s="135" t="s">
        <v>384</v>
      </c>
      <c r="AD2" s="135" t="s">
        <v>384</v>
      </c>
      <c r="AE2" s="135" t="s">
        <v>384</v>
      </c>
      <c r="AF2" s="135" t="s">
        <v>384</v>
      </c>
      <c r="AG2" s="135" t="s">
        <v>384</v>
      </c>
      <c r="AH2" s="135" t="s">
        <v>384</v>
      </c>
      <c r="AI2" s="135" t="s">
        <v>384</v>
      </c>
      <c r="AJ2" s="135" t="s">
        <v>384</v>
      </c>
      <c r="AK2" s="135" t="s">
        <v>384</v>
      </c>
      <c r="AL2" s="135" t="s">
        <v>384</v>
      </c>
      <c r="AM2" s="135" t="s">
        <v>384</v>
      </c>
      <c r="AN2" s="135" t="s">
        <v>384</v>
      </c>
      <c r="AO2" s="135" t="s">
        <v>384</v>
      </c>
      <c r="AP2" s="135" t="s">
        <v>384</v>
      </c>
      <c r="AQ2" s="135" t="s">
        <v>384</v>
      </c>
      <c r="AR2" s="135" t="s">
        <v>384</v>
      </c>
      <c r="AS2" s="135" t="s">
        <v>384</v>
      </c>
      <c r="AT2" s="135" t="s">
        <v>384</v>
      </c>
      <c r="AU2" s="135" t="s">
        <v>384</v>
      </c>
      <c r="AV2" s="135" t="s">
        <v>384</v>
      </c>
      <c r="AW2" s="135" t="s">
        <v>384</v>
      </c>
      <c r="AX2" s="135" t="s">
        <v>384</v>
      </c>
      <c r="AY2" s="135" t="s">
        <v>384</v>
      </c>
      <c r="AZ2" s="125"/>
      <c r="BA2" s="135" t="s">
        <v>384</v>
      </c>
      <c r="BB2" s="135" t="s">
        <v>384</v>
      </c>
      <c r="BC2" s="135" t="s">
        <v>384</v>
      </c>
      <c r="BD2" s="135" t="s">
        <v>384</v>
      </c>
      <c r="BE2" s="126"/>
    </row>
    <row r="3" spans="1:57" ht="15.6">
      <c r="A3" s="97">
        <v>2</v>
      </c>
      <c r="B3" s="361"/>
      <c r="C3" s="358"/>
      <c r="D3" s="365"/>
      <c r="E3" s="90" t="s">
        <v>6</v>
      </c>
      <c r="F3" s="84"/>
      <c r="G3" s="80"/>
      <c r="H3" s="116" t="s">
        <v>385</v>
      </c>
      <c r="I3" s="155">
        <f t="shared" ref="I3:I16" si="0">COUNTIF(K3:BE3,"P")</f>
        <v>0</v>
      </c>
      <c r="J3" s="156">
        <f t="shared" ref="J3:J16" si="1">COUNTIF(K3:BE3,"O")</f>
        <v>44</v>
      </c>
      <c r="K3" s="136" t="s">
        <v>384</v>
      </c>
      <c r="L3" s="136" t="s">
        <v>384</v>
      </c>
      <c r="M3" s="136" t="s">
        <v>384</v>
      </c>
      <c r="N3" s="136" t="s">
        <v>384</v>
      </c>
      <c r="O3" s="136" t="s">
        <v>384</v>
      </c>
      <c r="P3" s="136" t="s">
        <v>384</v>
      </c>
      <c r="Q3" s="136" t="s">
        <v>384</v>
      </c>
      <c r="R3" s="136" t="s">
        <v>384</v>
      </c>
      <c r="S3" s="136" t="s">
        <v>384</v>
      </c>
      <c r="T3" s="136" t="s">
        <v>384</v>
      </c>
      <c r="U3" s="136" t="s">
        <v>384</v>
      </c>
      <c r="V3" s="123"/>
      <c r="W3" s="136" t="s">
        <v>384</v>
      </c>
      <c r="X3" s="136" t="s">
        <v>384</v>
      </c>
      <c r="Y3" s="136" t="s">
        <v>384</v>
      </c>
      <c r="Z3" s="136" t="s">
        <v>384</v>
      </c>
      <c r="AA3" s="136" t="s">
        <v>384</v>
      </c>
      <c r="AB3" s="136" t="s">
        <v>384</v>
      </c>
      <c r="AC3" s="136" t="s">
        <v>384</v>
      </c>
      <c r="AD3" s="136" t="s">
        <v>384</v>
      </c>
      <c r="AE3" s="136" t="s">
        <v>384</v>
      </c>
      <c r="AF3" s="136" t="s">
        <v>384</v>
      </c>
      <c r="AG3" s="136" t="s">
        <v>384</v>
      </c>
      <c r="AH3" s="136" t="s">
        <v>384</v>
      </c>
      <c r="AI3" s="136" t="s">
        <v>384</v>
      </c>
      <c r="AJ3" s="136" t="s">
        <v>384</v>
      </c>
      <c r="AK3" s="136" t="s">
        <v>384</v>
      </c>
      <c r="AL3" s="136" t="s">
        <v>384</v>
      </c>
      <c r="AM3" s="136" t="s">
        <v>384</v>
      </c>
      <c r="AN3" s="136" t="s">
        <v>384</v>
      </c>
      <c r="AO3" s="136" t="s">
        <v>384</v>
      </c>
      <c r="AP3" s="136" t="s">
        <v>384</v>
      </c>
      <c r="AQ3" s="136" t="s">
        <v>384</v>
      </c>
      <c r="AR3" s="136" t="s">
        <v>384</v>
      </c>
      <c r="AS3" s="136" t="s">
        <v>384</v>
      </c>
      <c r="AT3" s="136" t="s">
        <v>384</v>
      </c>
      <c r="AU3" s="136" t="s">
        <v>384</v>
      </c>
      <c r="AV3" s="136" t="s">
        <v>384</v>
      </c>
      <c r="AW3" s="136" t="s">
        <v>384</v>
      </c>
      <c r="AX3" s="136" t="s">
        <v>384</v>
      </c>
      <c r="AY3" s="136" t="s">
        <v>384</v>
      </c>
      <c r="AZ3" s="85"/>
      <c r="BA3" s="136" t="s">
        <v>384</v>
      </c>
      <c r="BB3" s="136" t="s">
        <v>384</v>
      </c>
      <c r="BC3" s="136" t="s">
        <v>384</v>
      </c>
      <c r="BD3" s="136" t="s">
        <v>384</v>
      </c>
      <c r="BE3" s="127"/>
    </row>
    <row r="4" spans="1:57" ht="15.6">
      <c r="A4" s="97">
        <v>3</v>
      </c>
      <c r="B4" s="361"/>
      <c r="C4" s="358"/>
      <c r="D4" s="365"/>
      <c r="E4" s="90" t="s">
        <v>7</v>
      </c>
      <c r="F4" s="84"/>
      <c r="G4" s="80"/>
      <c r="H4" s="116" t="s">
        <v>386</v>
      </c>
      <c r="I4" s="155">
        <f t="shared" si="0"/>
        <v>0</v>
      </c>
      <c r="J4" s="156">
        <f t="shared" si="1"/>
        <v>44</v>
      </c>
      <c r="K4" s="136" t="s">
        <v>384</v>
      </c>
      <c r="L4" s="136" t="s">
        <v>384</v>
      </c>
      <c r="M4" s="136" t="s">
        <v>384</v>
      </c>
      <c r="N4" s="136" t="s">
        <v>384</v>
      </c>
      <c r="O4" s="136" t="s">
        <v>384</v>
      </c>
      <c r="P4" s="136" t="s">
        <v>384</v>
      </c>
      <c r="Q4" s="136" t="s">
        <v>384</v>
      </c>
      <c r="R4" s="136" t="s">
        <v>384</v>
      </c>
      <c r="S4" s="136" t="s">
        <v>384</v>
      </c>
      <c r="T4" s="136" t="s">
        <v>384</v>
      </c>
      <c r="U4" s="136" t="s">
        <v>384</v>
      </c>
      <c r="V4" s="123"/>
      <c r="W4" s="136" t="s">
        <v>384</v>
      </c>
      <c r="X4" s="136" t="s">
        <v>384</v>
      </c>
      <c r="Y4" s="136" t="s">
        <v>384</v>
      </c>
      <c r="Z4" s="136" t="s">
        <v>384</v>
      </c>
      <c r="AA4" s="136" t="s">
        <v>384</v>
      </c>
      <c r="AB4" s="136" t="s">
        <v>384</v>
      </c>
      <c r="AC4" s="136" t="s">
        <v>384</v>
      </c>
      <c r="AD4" s="136" t="s">
        <v>384</v>
      </c>
      <c r="AE4" s="136" t="s">
        <v>384</v>
      </c>
      <c r="AF4" s="136" t="s">
        <v>384</v>
      </c>
      <c r="AG4" s="136" t="s">
        <v>384</v>
      </c>
      <c r="AH4" s="136" t="s">
        <v>384</v>
      </c>
      <c r="AI4" s="136" t="s">
        <v>384</v>
      </c>
      <c r="AJ4" s="136" t="s">
        <v>384</v>
      </c>
      <c r="AK4" s="136" t="s">
        <v>384</v>
      </c>
      <c r="AL4" s="136" t="s">
        <v>384</v>
      </c>
      <c r="AM4" s="136" t="s">
        <v>384</v>
      </c>
      <c r="AN4" s="136" t="s">
        <v>384</v>
      </c>
      <c r="AO4" s="136" t="s">
        <v>384</v>
      </c>
      <c r="AP4" s="136" t="s">
        <v>384</v>
      </c>
      <c r="AQ4" s="136" t="s">
        <v>384</v>
      </c>
      <c r="AR4" s="136" t="s">
        <v>384</v>
      </c>
      <c r="AS4" s="136" t="s">
        <v>384</v>
      </c>
      <c r="AT4" s="136" t="s">
        <v>384</v>
      </c>
      <c r="AU4" s="136" t="s">
        <v>384</v>
      </c>
      <c r="AV4" s="136" t="s">
        <v>384</v>
      </c>
      <c r="AW4" s="136" t="s">
        <v>384</v>
      </c>
      <c r="AX4" s="136" t="s">
        <v>384</v>
      </c>
      <c r="AY4" s="136" t="s">
        <v>384</v>
      </c>
      <c r="AZ4" s="85"/>
      <c r="BA4" s="136" t="s">
        <v>384</v>
      </c>
      <c r="BB4" s="136" t="s">
        <v>384</v>
      </c>
      <c r="BC4" s="136" t="s">
        <v>384</v>
      </c>
      <c r="BD4" s="136" t="s">
        <v>384</v>
      </c>
      <c r="BE4" s="127"/>
    </row>
    <row r="5" spans="1:57" ht="15.6">
      <c r="A5" s="97">
        <v>4</v>
      </c>
      <c r="B5" s="361"/>
      <c r="C5" s="358"/>
      <c r="D5" s="365"/>
      <c r="E5" s="90" t="s">
        <v>7</v>
      </c>
      <c r="F5" s="84"/>
      <c r="G5" s="80"/>
      <c r="H5" s="116" t="s">
        <v>387</v>
      </c>
      <c r="I5" s="155">
        <f t="shared" si="0"/>
        <v>0</v>
      </c>
      <c r="J5" s="156">
        <f t="shared" si="1"/>
        <v>44</v>
      </c>
      <c r="K5" s="136" t="s">
        <v>384</v>
      </c>
      <c r="L5" s="136" t="s">
        <v>384</v>
      </c>
      <c r="M5" s="136" t="s">
        <v>384</v>
      </c>
      <c r="N5" s="136" t="s">
        <v>384</v>
      </c>
      <c r="O5" s="136" t="s">
        <v>384</v>
      </c>
      <c r="P5" s="136" t="s">
        <v>384</v>
      </c>
      <c r="Q5" s="136" t="s">
        <v>384</v>
      </c>
      <c r="R5" s="136" t="s">
        <v>384</v>
      </c>
      <c r="S5" s="136" t="s">
        <v>384</v>
      </c>
      <c r="T5" s="136" t="s">
        <v>384</v>
      </c>
      <c r="U5" s="136" t="s">
        <v>384</v>
      </c>
      <c r="V5" s="123"/>
      <c r="W5" s="136" t="s">
        <v>384</v>
      </c>
      <c r="X5" s="136" t="s">
        <v>384</v>
      </c>
      <c r="Y5" s="136" t="s">
        <v>384</v>
      </c>
      <c r="Z5" s="136" t="s">
        <v>384</v>
      </c>
      <c r="AA5" s="136" t="s">
        <v>384</v>
      </c>
      <c r="AB5" s="136" t="s">
        <v>384</v>
      </c>
      <c r="AC5" s="136" t="s">
        <v>384</v>
      </c>
      <c r="AD5" s="136" t="s">
        <v>384</v>
      </c>
      <c r="AE5" s="136" t="s">
        <v>384</v>
      </c>
      <c r="AF5" s="136" t="s">
        <v>384</v>
      </c>
      <c r="AG5" s="136" t="s">
        <v>384</v>
      </c>
      <c r="AH5" s="136" t="s">
        <v>384</v>
      </c>
      <c r="AI5" s="136" t="s">
        <v>384</v>
      </c>
      <c r="AJ5" s="136" t="s">
        <v>384</v>
      </c>
      <c r="AK5" s="136" t="s">
        <v>384</v>
      </c>
      <c r="AL5" s="136" t="s">
        <v>384</v>
      </c>
      <c r="AM5" s="136" t="s">
        <v>384</v>
      </c>
      <c r="AN5" s="136" t="s">
        <v>384</v>
      </c>
      <c r="AO5" s="136" t="s">
        <v>384</v>
      </c>
      <c r="AP5" s="136" t="s">
        <v>384</v>
      </c>
      <c r="AQ5" s="136" t="s">
        <v>384</v>
      </c>
      <c r="AR5" s="136" t="s">
        <v>384</v>
      </c>
      <c r="AS5" s="136" t="s">
        <v>384</v>
      </c>
      <c r="AT5" s="136" t="s">
        <v>384</v>
      </c>
      <c r="AU5" s="136" t="s">
        <v>384</v>
      </c>
      <c r="AV5" s="136" t="s">
        <v>384</v>
      </c>
      <c r="AW5" s="136" t="s">
        <v>384</v>
      </c>
      <c r="AX5" s="136" t="s">
        <v>384</v>
      </c>
      <c r="AY5" s="136" t="s">
        <v>384</v>
      </c>
      <c r="AZ5" s="85"/>
      <c r="BA5" s="136" t="s">
        <v>384</v>
      </c>
      <c r="BB5" s="136" t="s">
        <v>384</v>
      </c>
      <c r="BC5" s="136" t="s">
        <v>384</v>
      </c>
      <c r="BD5" s="136" t="s">
        <v>384</v>
      </c>
      <c r="BE5" s="127"/>
    </row>
    <row r="6" spans="1:57" ht="15.6">
      <c r="A6" s="97">
        <v>5</v>
      </c>
      <c r="B6" s="361"/>
      <c r="C6" s="358"/>
      <c r="D6" s="365"/>
      <c r="E6" s="90" t="s">
        <v>8</v>
      </c>
      <c r="F6" s="84"/>
      <c r="G6" s="80"/>
      <c r="H6" s="116" t="s">
        <v>383</v>
      </c>
      <c r="I6" s="155">
        <f t="shared" si="0"/>
        <v>0</v>
      </c>
      <c r="J6" s="156">
        <f t="shared" si="1"/>
        <v>44</v>
      </c>
      <c r="K6" s="136" t="s">
        <v>384</v>
      </c>
      <c r="L6" s="136" t="s">
        <v>384</v>
      </c>
      <c r="M6" s="136" t="s">
        <v>384</v>
      </c>
      <c r="N6" s="136" t="s">
        <v>384</v>
      </c>
      <c r="O6" s="136" t="s">
        <v>384</v>
      </c>
      <c r="P6" s="136" t="s">
        <v>384</v>
      </c>
      <c r="Q6" s="136" t="s">
        <v>384</v>
      </c>
      <c r="R6" s="136" t="s">
        <v>384</v>
      </c>
      <c r="S6" s="136" t="s">
        <v>384</v>
      </c>
      <c r="T6" s="136" t="s">
        <v>384</v>
      </c>
      <c r="U6" s="136" t="s">
        <v>384</v>
      </c>
      <c r="V6" s="123"/>
      <c r="W6" s="136" t="s">
        <v>384</v>
      </c>
      <c r="X6" s="136" t="s">
        <v>384</v>
      </c>
      <c r="Y6" s="136" t="s">
        <v>384</v>
      </c>
      <c r="Z6" s="136" t="s">
        <v>384</v>
      </c>
      <c r="AA6" s="136" t="s">
        <v>384</v>
      </c>
      <c r="AB6" s="136" t="s">
        <v>384</v>
      </c>
      <c r="AC6" s="136" t="s">
        <v>384</v>
      </c>
      <c r="AD6" s="136" t="s">
        <v>384</v>
      </c>
      <c r="AE6" s="136" t="s">
        <v>384</v>
      </c>
      <c r="AF6" s="136" t="s">
        <v>384</v>
      </c>
      <c r="AG6" s="136" t="s">
        <v>384</v>
      </c>
      <c r="AH6" s="136" t="s">
        <v>384</v>
      </c>
      <c r="AI6" s="136" t="s">
        <v>384</v>
      </c>
      <c r="AJ6" s="136" t="s">
        <v>384</v>
      </c>
      <c r="AK6" s="136" t="s">
        <v>384</v>
      </c>
      <c r="AL6" s="136" t="s">
        <v>384</v>
      </c>
      <c r="AM6" s="136" t="s">
        <v>384</v>
      </c>
      <c r="AN6" s="136" t="s">
        <v>384</v>
      </c>
      <c r="AO6" s="136" t="s">
        <v>384</v>
      </c>
      <c r="AP6" s="136" t="s">
        <v>384</v>
      </c>
      <c r="AQ6" s="136" t="s">
        <v>384</v>
      </c>
      <c r="AR6" s="136" t="s">
        <v>384</v>
      </c>
      <c r="AS6" s="136" t="s">
        <v>384</v>
      </c>
      <c r="AT6" s="136" t="s">
        <v>384</v>
      </c>
      <c r="AU6" s="136" t="s">
        <v>384</v>
      </c>
      <c r="AV6" s="136" t="s">
        <v>384</v>
      </c>
      <c r="AW6" s="136" t="s">
        <v>384</v>
      </c>
      <c r="AX6" s="136" t="s">
        <v>384</v>
      </c>
      <c r="AY6" s="136" t="s">
        <v>384</v>
      </c>
      <c r="AZ6" s="85"/>
      <c r="BA6" s="136" t="s">
        <v>384</v>
      </c>
      <c r="BB6" s="136" t="s">
        <v>384</v>
      </c>
      <c r="BC6" s="136" t="s">
        <v>384</v>
      </c>
      <c r="BD6" s="136" t="s">
        <v>384</v>
      </c>
      <c r="BE6" s="127"/>
    </row>
    <row r="7" spans="1:57" ht="15.6">
      <c r="A7" s="97">
        <v>6</v>
      </c>
      <c r="B7" s="361"/>
      <c r="C7" s="358"/>
      <c r="D7" s="365"/>
      <c r="E7" s="90" t="s">
        <v>8</v>
      </c>
      <c r="F7" s="84"/>
      <c r="G7" s="80"/>
      <c r="H7" s="116" t="s">
        <v>385</v>
      </c>
      <c r="I7" s="155">
        <f t="shared" si="0"/>
        <v>0</v>
      </c>
      <c r="J7" s="156">
        <f t="shared" si="1"/>
        <v>44</v>
      </c>
      <c r="K7" s="136" t="s">
        <v>384</v>
      </c>
      <c r="L7" s="136" t="s">
        <v>384</v>
      </c>
      <c r="M7" s="136" t="s">
        <v>384</v>
      </c>
      <c r="N7" s="136" t="s">
        <v>384</v>
      </c>
      <c r="O7" s="136" t="s">
        <v>384</v>
      </c>
      <c r="P7" s="136" t="s">
        <v>384</v>
      </c>
      <c r="Q7" s="136" t="s">
        <v>384</v>
      </c>
      <c r="R7" s="136" t="s">
        <v>384</v>
      </c>
      <c r="S7" s="136" t="s">
        <v>384</v>
      </c>
      <c r="T7" s="136" t="s">
        <v>384</v>
      </c>
      <c r="U7" s="136" t="s">
        <v>384</v>
      </c>
      <c r="V7" s="123"/>
      <c r="W7" s="136" t="s">
        <v>384</v>
      </c>
      <c r="X7" s="136" t="s">
        <v>384</v>
      </c>
      <c r="Y7" s="136" t="s">
        <v>384</v>
      </c>
      <c r="Z7" s="136" t="s">
        <v>384</v>
      </c>
      <c r="AA7" s="136" t="s">
        <v>384</v>
      </c>
      <c r="AB7" s="136" t="s">
        <v>384</v>
      </c>
      <c r="AC7" s="136" t="s">
        <v>384</v>
      </c>
      <c r="AD7" s="136" t="s">
        <v>384</v>
      </c>
      <c r="AE7" s="136" t="s">
        <v>384</v>
      </c>
      <c r="AF7" s="136" t="s">
        <v>384</v>
      </c>
      <c r="AG7" s="136" t="s">
        <v>384</v>
      </c>
      <c r="AH7" s="136" t="s">
        <v>384</v>
      </c>
      <c r="AI7" s="136" t="s">
        <v>384</v>
      </c>
      <c r="AJ7" s="136" t="s">
        <v>384</v>
      </c>
      <c r="AK7" s="136" t="s">
        <v>384</v>
      </c>
      <c r="AL7" s="136" t="s">
        <v>384</v>
      </c>
      <c r="AM7" s="136" t="s">
        <v>384</v>
      </c>
      <c r="AN7" s="136" t="s">
        <v>384</v>
      </c>
      <c r="AO7" s="136" t="s">
        <v>384</v>
      </c>
      <c r="AP7" s="136" t="s">
        <v>384</v>
      </c>
      <c r="AQ7" s="136" t="s">
        <v>384</v>
      </c>
      <c r="AR7" s="136" t="s">
        <v>384</v>
      </c>
      <c r="AS7" s="136" t="s">
        <v>384</v>
      </c>
      <c r="AT7" s="136" t="s">
        <v>384</v>
      </c>
      <c r="AU7" s="136" t="s">
        <v>384</v>
      </c>
      <c r="AV7" s="136" t="s">
        <v>384</v>
      </c>
      <c r="AW7" s="136" t="s">
        <v>384</v>
      </c>
      <c r="AX7" s="136" t="s">
        <v>384</v>
      </c>
      <c r="AY7" s="136" t="s">
        <v>384</v>
      </c>
      <c r="AZ7" s="85"/>
      <c r="BA7" s="136" t="s">
        <v>384</v>
      </c>
      <c r="BB7" s="136" t="s">
        <v>384</v>
      </c>
      <c r="BC7" s="136" t="s">
        <v>384</v>
      </c>
      <c r="BD7" s="136" t="s">
        <v>384</v>
      </c>
      <c r="BE7" s="127"/>
    </row>
    <row r="8" spans="1:57" ht="15.6">
      <c r="A8" s="97">
        <v>7</v>
      </c>
      <c r="B8" s="361"/>
      <c r="C8" s="358"/>
      <c r="D8" s="365"/>
      <c r="E8" s="90" t="s">
        <v>9</v>
      </c>
      <c r="F8" s="84"/>
      <c r="G8" s="80"/>
      <c r="H8" s="116" t="s">
        <v>386</v>
      </c>
      <c r="I8" s="155">
        <f t="shared" si="0"/>
        <v>0</v>
      </c>
      <c r="J8" s="156">
        <f t="shared" si="1"/>
        <v>44</v>
      </c>
      <c r="K8" s="136" t="s">
        <v>384</v>
      </c>
      <c r="L8" s="136" t="s">
        <v>384</v>
      </c>
      <c r="M8" s="136" t="s">
        <v>384</v>
      </c>
      <c r="N8" s="136" t="s">
        <v>384</v>
      </c>
      <c r="O8" s="136" t="s">
        <v>384</v>
      </c>
      <c r="P8" s="136" t="s">
        <v>384</v>
      </c>
      <c r="Q8" s="136" t="s">
        <v>384</v>
      </c>
      <c r="R8" s="136" t="s">
        <v>384</v>
      </c>
      <c r="S8" s="136" t="s">
        <v>384</v>
      </c>
      <c r="T8" s="136" t="s">
        <v>384</v>
      </c>
      <c r="U8" s="136" t="s">
        <v>384</v>
      </c>
      <c r="V8" s="123"/>
      <c r="W8" s="136" t="s">
        <v>384</v>
      </c>
      <c r="X8" s="136" t="s">
        <v>384</v>
      </c>
      <c r="Y8" s="136" t="s">
        <v>384</v>
      </c>
      <c r="Z8" s="136" t="s">
        <v>384</v>
      </c>
      <c r="AA8" s="136" t="s">
        <v>384</v>
      </c>
      <c r="AB8" s="136" t="s">
        <v>384</v>
      </c>
      <c r="AC8" s="136" t="s">
        <v>384</v>
      </c>
      <c r="AD8" s="136" t="s">
        <v>384</v>
      </c>
      <c r="AE8" s="136" t="s">
        <v>384</v>
      </c>
      <c r="AF8" s="136" t="s">
        <v>384</v>
      </c>
      <c r="AG8" s="136" t="s">
        <v>384</v>
      </c>
      <c r="AH8" s="136" t="s">
        <v>384</v>
      </c>
      <c r="AI8" s="136" t="s">
        <v>384</v>
      </c>
      <c r="AJ8" s="136" t="s">
        <v>384</v>
      </c>
      <c r="AK8" s="136" t="s">
        <v>384</v>
      </c>
      <c r="AL8" s="136" t="s">
        <v>384</v>
      </c>
      <c r="AM8" s="136" t="s">
        <v>384</v>
      </c>
      <c r="AN8" s="136" t="s">
        <v>384</v>
      </c>
      <c r="AO8" s="136" t="s">
        <v>384</v>
      </c>
      <c r="AP8" s="136" t="s">
        <v>384</v>
      </c>
      <c r="AQ8" s="136" t="s">
        <v>384</v>
      </c>
      <c r="AR8" s="136" t="s">
        <v>384</v>
      </c>
      <c r="AS8" s="136" t="s">
        <v>384</v>
      </c>
      <c r="AT8" s="136" t="s">
        <v>384</v>
      </c>
      <c r="AU8" s="136" t="s">
        <v>384</v>
      </c>
      <c r="AV8" s="136" t="s">
        <v>384</v>
      </c>
      <c r="AW8" s="136" t="s">
        <v>384</v>
      </c>
      <c r="AX8" s="136" t="s">
        <v>384</v>
      </c>
      <c r="AY8" s="136" t="s">
        <v>384</v>
      </c>
      <c r="AZ8" s="85"/>
      <c r="BA8" s="136" t="s">
        <v>384</v>
      </c>
      <c r="BB8" s="136" t="s">
        <v>384</v>
      </c>
      <c r="BC8" s="136" t="s">
        <v>384</v>
      </c>
      <c r="BD8" s="136" t="s">
        <v>384</v>
      </c>
      <c r="BE8" s="127"/>
    </row>
    <row r="9" spans="1:57" ht="15.6">
      <c r="A9" s="97">
        <v>8</v>
      </c>
      <c r="B9" s="361"/>
      <c r="C9" s="358"/>
      <c r="D9" s="365"/>
      <c r="E9" s="90" t="s">
        <v>9</v>
      </c>
      <c r="F9" s="84"/>
      <c r="G9" s="80"/>
      <c r="H9" s="116" t="s">
        <v>387</v>
      </c>
      <c r="I9" s="155">
        <f t="shared" si="0"/>
        <v>0</v>
      </c>
      <c r="J9" s="156">
        <f t="shared" si="1"/>
        <v>44</v>
      </c>
      <c r="K9" s="136" t="s">
        <v>384</v>
      </c>
      <c r="L9" s="136" t="s">
        <v>384</v>
      </c>
      <c r="M9" s="136" t="s">
        <v>384</v>
      </c>
      <c r="N9" s="136" t="s">
        <v>384</v>
      </c>
      <c r="O9" s="136" t="s">
        <v>384</v>
      </c>
      <c r="P9" s="136" t="s">
        <v>384</v>
      </c>
      <c r="Q9" s="136" t="s">
        <v>384</v>
      </c>
      <c r="R9" s="136" t="s">
        <v>384</v>
      </c>
      <c r="S9" s="136" t="s">
        <v>384</v>
      </c>
      <c r="T9" s="136" t="s">
        <v>384</v>
      </c>
      <c r="U9" s="136" t="s">
        <v>384</v>
      </c>
      <c r="V9" s="123"/>
      <c r="W9" s="136" t="s">
        <v>384</v>
      </c>
      <c r="X9" s="136" t="s">
        <v>384</v>
      </c>
      <c r="Y9" s="136" t="s">
        <v>384</v>
      </c>
      <c r="Z9" s="136" t="s">
        <v>384</v>
      </c>
      <c r="AA9" s="136" t="s">
        <v>384</v>
      </c>
      <c r="AB9" s="136" t="s">
        <v>384</v>
      </c>
      <c r="AC9" s="136" t="s">
        <v>384</v>
      </c>
      <c r="AD9" s="136" t="s">
        <v>384</v>
      </c>
      <c r="AE9" s="136" t="s">
        <v>384</v>
      </c>
      <c r="AF9" s="136" t="s">
        <v>384</v>
      </c>
      <c r="AG9" s="136" t="s">
        <v>384</v>
      </c>
      <c r="AH9" s="136" t="s">
        <v>384</v>
      </c>
      <c r="AI9" s="136" t="s">
        <v>384</v>
      </c>
      <c r="AJ9" s="136" t="s">
        <v>384</v>
      </c>
      <c r="AK9" s="136" t="s">
        <v>384</v>
      </c>
      <c r="AL9" s="136" t="s">
        <v>384</v>
      </c>
      <c r="AM9" s="136" t="s">
        <v>384</v>
      </c>
      <c r="AN9" s="136" t="s">
        <v>384</v>
      </c>
      <c r="AO9" s="136" t="s">
        <v>384</v>
      </c>
      <c r="AP9" s="136" t="s">
        <v>384</v>
      </c>
      <c r="AQ9" s="136" t="s">
        <v>384</v>
      </c>
      <c r="AR9" s="136" t="s">
        <v>384</v>
      </c>
      <c r="AS9" s="136" t="s">
        <v>384</v>
      </c>
      <c r="AT9" s="136" t="s">
        <v>384</v>
      </c>
      <c r="AU9" s="136" t="s">
        <v>384</v>
      </c>
      <c r="AV9" s="136" t="s">
        <v>384</v>
      </c>
      <c r="AW9" s="136" t="s">
        <v>384</v>
      </c>
      <c r="AX9" s="136" t="s">
        <v>384</v>
      </c>
      <c r="AY9" s="136" t="s">
        <v>384</v>
      </c>
      <c r="AZ9" s="85"/>
      <c r="BA9" s="136" t="s">
        <v>384</v>
      </c>
      <c r="BB9" s="136" t="s">
        <v>384</v>
      </c>
      <c r="BC9" s="136" t="s">
        <v>384</v>
      </c>
      <c r="BD9" s="136" t="s">
        <v>384</v>
      </c>
      <c r="BE9" s="127"/>
    </row>
    <row r="10" spans="1:57" ht="15.6">
      <c r="A10" s="97">
        <v>9</v>
      </c>
      <c r="B10" s="361"/>
      <c r="C10" s="358"/>
      <c r="D10" s="365"/>
      <c r="E10" s="90" t="s">
        <v>388</v>
      </c>
      <c r="F10" s="84"/>
      <c r="G10" s="80"/>
      <c r="H10" s="116" t="s">
        <v>383</v>
      </c>
      <c r="I10" s="155">
        <f t="shared" si="0"/>
        <v>0</v>
      </c>
      <c r="J10" s="156">
        <f>COUNTIF(K10:BE10,"O")</f>
        <v>44</v>
      </c>
      <c r="K10" s="136" t="s">
        <v>384</v>
      </c>
      <c r="L10" s="136" t="s">
        <v>384</v>
      </c>
      <c r="M10" s="136" t="s">
        <v>384</v>
      </c>
      <c r="N10" s="136" t="s">
        <v>384</v>
      </c>
      <c r="O10" s="136" t="s">
        <v>384</v>
      </c>
      <c r="P10" s="136" t="s">
        <v>384</v>
      </c>
      <c r="Q10" s="136" t="s">
        <v>384</v>
      </c>
      <c r="R10" s="136" t="s">
        <v>384</v>
      </c>
      <c r="S10" s="136" t="s">
        <v>384</v>
      </c>
      <c r="T10" s="136" t="s">
        <v>384</v>
      </c>
      <c r="U10" s="136" t="s">
        <v>384</v>
      </c>
      <c r="V10" s="123"/>
      <c r="W10" s="136" t="s">
        <v>384</v>
      </c>
      <c r="X10" s="136" t="s">
        <v>384</v>
      </c>
      <c r="Y10" s="136" t="s">
        <v>384</v>
      </c>
      <c r="Z10" s="136" t="s">
        <v>384</v>
      </c>
      <c r="AA10" s="136" t="s">
        <v>384</v>
      </c>
      <c r="AB10" s="136" t="s">
        <v>384</v>
      </c>
      <c r="AC10" s="136" t="s">
        <v>384</v>
      </c>
      <c r="AD10" s="136" t="s">
        <v>384</v>
      </c>
      <c r="AE10" s="136" t="s">
        <v>384</v>
      </c>
      <c r="AF10" s="136" t="s">
        <v>384</v>
      </c>
      <c r="AG10" s="136" t="s">
        <v>384</v>
      </c>
      <c r="AH10" s="136" t="s">
        <v>384</v>
      </c>
      <c r="AI10" s="136" t="s">
        <v>384</v>
      </c>
      <c r="AJ10" s="136" t="s">
        <v>384</v>
      </c>
      <c r="AK10" s="136" t="s">
        <v>384</v>
      </c>
      <c r="AL10" s="136" t="s">
        <v>384</v>
      </c>
      <c r="AM10" s="136" t="s">
        <v>384</v>
      </c>
      <c r="AN10" s="136" t="s">
        <v>384</v>
      </c>
      <c r="AO10" s="136" t="s">
        <v>384</v>
      </c>
      <c r="AP10" s="136" t="s">
        <v>384</v>
      </c>
      <c r="AQ10" s="136" t="s">
        <v>384</v>
      </c>
      <c r="AR10" s="136" t="s">
        <v>384</v>
      </c>
      <c r="AS10" s="136" t="s">
        <v>384</v>
      </c>
      <c r="AT10" s="136" t="s">
        <v>384</v>
      </c>
      <c r="AU10" s="136" t="s">
        <v>384</v>
      </c>
      <c r="AV10" s="136" t="s">
        <v>384</v>
      </c>
      <c r="AW10" s="136" t="s">
        <v>384</v>
      </c>
      <c r="AX10" s="136" t="s">
        <v>384</v>
      </c>
      <c r="AY10" s="136" t="s">
        <v>384</v>
      </c>
      <c r="AZ10" s="85"/>
      <c r="BA10" s="136" t="s">
        <v>384</v>
      </c>
      <c r="BB10" s="136" t="s">
        <v>384</v>
      </c>
      <c r="BC10" s="136" t="s">
        <v>384</v>
      </c>
      <c r="BD10" s="136" t="s">
        <v>384</v>
      </c>
      <c r="BE10" s="127"/>
    </row>
    <row r="11" spans="1:57" ht="15.6">
      <c r="A11" s="97">
        <v>10</v>
      </c>
      <c r="B11" s="361"/>
      <c r="C11" s="359"/>
      <c r="D11" s="365"/>
      <c r="E11" s="90" t="s">
        <v>388</v>
      </c>
      <c r="F11" s="84"/>
      <c r="G11" s="80"/>
      <c r="H11" s="116" t="s">
        <v>385</v>
      </c>
      <c r="I11" s="155">
        <f t="shared" si="0"/>
        <v>0</v>
      </c>
      <c r="J11" s="156">
        <f t="shared" si="1"/>
        <v>44</v>
      </c>
      <c r="K11" s="136" t="s">
        <v>384</v>
      </c>
      <c r="L11" s="136" t="s">
        <v>384</v>
      </c>
      <c r="M11" s="136" t="s">
        <v>384</v>
      </c>
      <c r="N11" s="136" t="s">
        <v>384</v>
      </c>
      <c r="O11" s="136" t="s">
        <v>384</v>
      </c>
      <c r="P11" s="136" t="s">
        <v>384</v>
      </c>
      <c r="Q11" s="136" t="s">
        <v>384</v>
      </c>
      <c r="R11" s="136" t="s">
        <v>384</v>
      </c>
      <c r="S11" s="136" t="s">
        <v>384</v>
      </c>
      <c r="T11" s="136" t="s">
        <v>384</v>
      </c>
      <c r="U11" s="136" t="s">
        <v>384</v>
      </c>
      <c r="V11" s="123"/>
      <c r="W11" s="136" t="s">
        <v>384</v>
      </c>
      <c r="X11" s="136" t="s">
        <v>384</v>
      </c>
      <c r="Y11" s="136" t="s">
        <v>384</v>
      </c>
      <c r="Z11" s="136" t="s">
        <v>384</v>
      </c>
      <c r="AA11" s="136" t="s">
        <v>384</v>
      </c>
      <c r="AB11" s="136" t="s">
        <v>384</v>
      </c>
      <c r="AC11" s="136" t="s">
        <v>384</v>
      </c>
      <c r="AD11" s="136" t="s">
        <v>384</v>
      </c>
      <c r="AE11" s="136" t="s">
        <v>384</v>
      </c>
      <c r="AF11" s="136" t="s">
        <v>384</v>
      </c>
      <c r="AG11" s="136" t="s">
        <v>384</v>
      </c>
      <c r="AH11" s="136" t="s">
        <v>384</v>
      </c>
      <c r="AI11" s="136" t="s">
        <v>384</v>
      </c>
      <c r="AJ11" s="136" t="s">
        <v>384</v>
      </c>
      <c r="AK11" s="136" t="s">
        <v>384</v>
      </c>
      <c r="AL11" s="136" t="s">
        <v>384</v>
      </c>
      <c r="AM11" s="136" t="s">
        <v>384</v>
      </c>
      <c r="AN11" s="136" t="s">
        <v>384</v>
      </c>
      <c r="AO11" s="136" t="s">
        <v>384</v>
      </c>
      <c r="AP11" s="136" t="s">
        <v>384</v>
      </c>
      <c r="AQ11" s="136" t="s">
        <v>384</v>
      </c>
      <c r="AR11" s="136" t="s">
        <v>384</v>
      </c>
      <c r="AS11" s="136" t="s">
        <v>384</v>
      </c>
      <c r="AT11" s="136" t="s">
        <v>384</v>
      </c>
      <c r="AU11" s="136" t="s">
        <v>384</v>
      </c>
      <c r="AV11" s="136" t="s">
        <v>384</v>
      </c>
      <c r="AW11" s="136" t="s">
        <v>384</v>
      </c>
      <c r="AX11" s="136" t="s">
        <v>384</v>
      </c>
      <c r="AY11" s="136" t="s">
        <v>384</v>
      </c>
      <c r="AZ11" s="85"/>
      <c r="BA11" s="136" t="s">
        <v>384</v>
      </c>
      <c r="BB11" s="136" t="s">
        <v>384</v>
      </c>
      <c r="BC11" s="136" t="s">
        <v>384</v>
      </c>
      <c r="BD11" s="136" t="s">
        <v>384</v>
      </c>
      <c r="BE11" s="127"/>
    </row>
    <row r="12" spans="1:57" ht="15.6">
      <c r="A12" s="97">
        <v>11</v>
      </c>
      <c r="B12" s="361"/>
      <c r="C12" s="355" t="s">
        <v>114</v>
      </c>
      <c r="D12" s="81" t="s">
        <v>11</v>
      </c>
      <c r="E12" s="90" t="s">
        <v>12</v>
      </c>
      <c r="F12" s="84"/>
      <c r="G12" s="80"/>
      <c r="H12" s="116" t="s">
        <v>383</v>
      </c>
      <c r="I12" s="155">
        <f t="shared" si="0"/>
        <v>0</v>
      </c>
      <c r="J12" s="156">
        <f t="shared" si="1"/>
        <v>44</v>
      </c>
      <c r="K12" s="136" t="s">
        <v>384</v>
      </c>
      <c r="L12" s="136" t="s">
        <v>384</v>
      </c>
      <c r="M12" s="136" t="s">
        <v>384</v>
      </c>
      <c r="N12" s="136" t="s">
        <v>384</v>
      </c>
      <c r="O12" s="136" t="s">
        <v>384</v>
      </c>
      <c r="P12" s="136" t="s">
        <v>384</v>
      </c>
      <c r="Q12" s="136" t="s">
        <v>384</v>
      </c>
      <c r="R12" s="136" t="s">
        <v>384</v>
      </c>
      <c r="S12" s="136" t="s">
        <v>384</v>
      </c>
      <c r="T12" s="136" t="s">
        <v>384</v>
      </c>
      <c r="U12" s="136" t="s">
        <v>384</v>
      </c>
      <c r="V12" s="123"/>
      <c r="W12" s="136" t="s">
        <v>384</v>
      </c>
      <c r="X12" s="136" t="s">
        <v>384</v>
      </c>
      <c r="Y12" s="136" t="s">
        <v>384</v>
      </c>
      <c r="Z12" s="136" t="s">
        <v>384</v>
      </c>
      <c r="AA12" s="136" t="s">
        <v>384</v>
      </c>
      <c r="AB12" s="136" t="s">
        <v>384</v>
      </c>
      <c r="AC12" s="136" t="s">
        <v>384</v>
      </c>
      <c r="AD12" s="136" t="s">
        <v>384</v>
      </c>
      <c r="AE12" s="136" t="s">
        <v>384</v>
      </c>
      <c r="AF12" s="136" t="s">
        <v>384</v>
      </c>
      <c r="AG12" s="136" t="s">
        <v>384</v>
      </c>
      <c r="AH12" s="136" t="s">
        <v>384</v>
      </c>
      <c r="AI12" s="136" t="s">
        <v>384</v>
      </c>
      <c r="AJ12" s="136" t="s">
        <v>384</v>
      </c>
      <c r="AK12" s="136" t="s">
        <v>384</v>
      </c>
      <c r="AL12" s="136" t="s">
        <v>384</v>
      </c>
      <c r="AM12" s="136" t="s">
        <v>384</v>
      </c>
      <c r="AN12" s="136" t="s">
        <v>384</v>
      </c>
      <c r="AO12" s="136" t="s">
        <v>384</v>
      </c>
      <c r="AP12" s="136" t="s">
        <v>384</v>
      </c>
      <c r="AQ12" s="136" t="s">
        <v>384</v>
      </c>
      <c r="AR12" s="136" t="s">
        <v>384</v>
      </c>
      <c r="AS12" s="136" t="s">
        <v>384</v>
      </c>
      <c r="AT12" s="136" t="s">
        <v>384</v>
      </c>
      <c r="AU12" s="136" t="s">
        <v>384</v>
      </c>
      <c r="AV12" s="136" t="s">
        <v>384</v>
      </c>
      <c r="AW12" s="136" t="s">
        <v>384</v>
      </c>
      <c r="AX12" s="136" t="s">
        <v>384</v>
      </c>
      <c r="AY12" s="136" t="s">
        <v>384</v>
      </c>
      <c r="AZ12" s="85"/>
      <c r="BA12" s="136" t="s">
        <v>384</v>
      </c>
      <c r="BB12" s="136" t="s">
        <v>384</v>
      </c>
      <c r="BC12" s="136" t="s">
        <v>384</v>
      </c>
      <c r="BD12" s="136" t="s">
        <v>384</v>
      </c>
      <c r="BE12" s="127"/>
    </row>
    <row r="13" spans="1:57" ht="15.6">
      <c r="A13" s="97">
        <v>12</v>
      </c>
      <c r="B13" s="361"/>
      <c r="C13" s="356"/>
      <c r="D13" s="81" t="s">
        <v>11</v>
      </c>
      <c r="E13" s="90" t="s">
        <v>12</v>
      </c>
      <c r="F13" s="366"/>
      <c r="G13" s="80"/>
      <c r="H13" s="116" t="s">
        <v>385</v>
      </c>
      <c r="I13" s="155">
        <f t="shared" si="0"/>
        <v>0</v>
      </c>
      <c r="J13" s="156">
        <f t="shared" si="1"/>
        <v>44</v>
      </c>
      <c r="K13" s="136" t="s">
        <v>384</v>
      </c>
      <c r="L13" s="136" t="s">
        <v>384</v>
      </c>
      <c r="M13" s="136" t="s">
        <v>384</v>
      </c>
      <c r="N13" s="136" t="s">
        <v>384</v>
      </c>
      <c r="O13" s="136" t="s">
        <v>384</v>
      </c>
      <c r="P13" s="136" t="s">
        <v>384</v>
      </c>
      <c r="Q13" s="136" t="s">
        <v>384</v>
      </c>
      <c r="R13" s="136" t="s">
        <v>384</v>
      </c>
      <c r="S13" s="136" t="s">
        <v>384</v>
      </c>
      <c r="T13" s="136" t="s">
        <v>384</v>
      </c>
      <c r="U13" s="136" t="s">
        <v>384</v>
      </c>
      <c r="V13" s="123"/>
      <c r="W13" s="136" t="s">
        <v>384</v>
      </c>
      <c r="X13" s="136" t="s">
        <v>384</v>
      </c>
      <c r="Y13" s="136" t="s">
        <v>384</v>
      </c>
      <c r="Z13" s="136" t="s">
        <v>384</v>
      </c>
      <c r="AA13" s="136" t="s">
        <v>384</v>
      </c>
      <c r="AB13" s="136" t="s">
        <v>384</v>
      </c>
      <c r="AC13" s="136" t="s">
        <v>384</v>
      </c>
      <c r="AD13" s="136" t="s">
        <v>384</v>
      </c>
      <c r="AE13" s="136" t="s">
        <v>384</v>
      </c>
      <c r="AF13" s="136" t="s">
        <v>384</v>
      </c>
      <c r="AG13" s="136" t="s">
        <v>384</v>
      </c>
      <c r="AH13" s="136" t="s">
        <v>384</v>
      </c>
      <c r="AI13" s="136" t="s">
        <v>384</v>
      </c>
      <c r="AJ13" s="136" t="s">
        <v>384</v>
      </c>
      <c r="AK13" s="136" t="s">
        <v>384</v>
      </c>
      <c r="AL13" s="136" t="s">
        <v>384</v>
      </c>
      <c r="AM13" s="136" t="s">
        <v>384</v>
      </c>
      <c r="AN13" s="136" t="s">
        <v>384</v>
      </c>
      <c r="AO13" s="136" t="s">
        <v>384</v>
      </c>
      <c r="AP13" s="136" t="s">
        <v>384</v>
      </c>
      <c r="AQ13" s="136" t="s">
        <v>384</v>
      </c>
      <c r="AR13" s="136" t="s">
        <v>384</v>
      </c>
      <c r="AS13" s="136" t="s">
        <v>384</v>
      </c>
      <c r="AT13" s="136" t="s">
        <v>384</v>
      </c>
      <c r="AU13" s="136" t="s">
        <v>384</v>
      </c>
      <c r="AV13" s="136" t="s">
        <v>384</v>
      </c>
      <c r="AW13" s="136" t="s">
        <v>384</v>
      </c>
      <c r="AX13" s="136" t="s">
        <v>384</v>
      </c>
      <c r="AY13" s="136" t="s">
        <v>384</v>
      </c>
      <c r="AZ13" s="85"/>
      <c r="BA13" s="136" t="s">
        <v>384</v>
      </c>
      <c r="BB13" s="136" t="s">
        <v>384</v>
      </c>
      <c r="BC13" s="136" t="s">
        <v>384</v>
      </c>
      <c r="BD13" s="136" t="s">
        <v>384</v>
      </c>
      <c r="BE13" s="127"/>
    </row>
    <row r="14" spans="1:57" ht="15.6">
      <c r="A14" s="97">
        <v>13</v>
      </c>
      <c r="B14" s="361"/>
      <c r="C14" s="357" t="s">
        <v>389</v>
      </c>
      <c r="D14" s="79" t="s">
        <v>14</v>
      </c>
      <c r="E14" s="90" t="s">
        <v>15</v>
      </c>
      <c r="F14" s="366"/>
      <c r="G14" s="80"/>
      <c r="H14" s="116" t="s">
        <v>383</v>
      </c>
      <c r="I14" s="155">
        <f t="shared" si="0"/>
        <v>40</v>
      </c>
      <c r="J14" s="156">
        <f t="shared" si="1"/>
        <v>4</v>
      </c>
      <c r="K14" s="136" t="s">
        <v>390</v>
      </c>
      <c r="L14" s="136" t="s">
        <v>390</v>
      </c>
      <c r="M14" s="136" t="s">
        <v>390</v>
      </c>
      <c r="N14" s="136" t="s">
        <v>390</v>
      </c>
      <c r="O14" s="136" t="s">
        <v>390</v>
      </c>
      <c r="P14" s="136" t="s">
        <v>390</v>
      </c>
      <c r="Q14" s="136" t="s">
        <v>390</v>
      </c>
      <c r="R14" s="136" t="s">
        <v>390</v>
      </c>
      <c r="S14" s="136" t="s">
        <v>390</v>
      </c>
      <c r="T14" s="136" t="s">
        <v>390</v>
      </c>
      <c r="U14" s="136" t="s">
        <v>390</v>
      </c>
      <c r="V14" s="123"/>
      <c r="W14" s="136" t="s">
        <v>390</v>
      </c>
      <c r="X14" s="136" t="s">
        <v>390</v>
      </c>
      <c r="Y14" s="136" t="s">
        <v>390</v>
      </c>
      <c r="Z14" s="136" t="s">
        <v>390</v>
      </c>
      <c r="AA14" s="136" t="s">
        <v>390</v>
      </c>
      <c r="AB14" s="136" t="s">
        <v>390</v>
      </c>
      <c r="AC14" s="136" t="s">
        <v>390</v>
      </c>
      <c r="AD14" s="136" t="s">
        <v>390</v>
      </c>
      <c r="AE14" s="136" t="s">
        <v>390</v>
      </c>
      <c r="AF14" s="136" t="s">
        <v>390</v>
      </c>
      <c r="AG14" s="136" t="s">
        <v>390</v>
      </c>
      <c r="AH14" s="136" t="s">
        <v>390</v>
      </c>
      <c r="AI14" s="136" t="s">
        <v>390</v>
      </c>
      <c r="AJ14" s="136" t="s">
        <v>390</v>
      </c>
      <c r="AK14" s="136" t="s">
        <v>390</v>
      </c>
      <c r="AL14" s="136" t="s">
        <v>390</v>
      </c>
      <c r="AM14" s="136" t="s">
        <v>390</v>
      </c>
      <c r="AN14" s="136" t="s">
        <v>390</v>
      </c>
      <c r="AO14" s="136" t="s">
        <v>384</v>
      </c>
      <c r="AP14" s="136" t="s">
        <v>384</v>
      </c>
      <c r="AQ14" s="136" t="s">
        <v>384</v>
      </c>
      <c r="AR14" s="136" t="s">
        <v>384</v>
      </c>
      <c r="AS14" s="136" t="s">
        <v>390</v>
      </c>
      <c r="AT14" s="136" t="s">
        <v>390</v>
      </c>
      <c r="AU14" s="136" t="s">
        <v>390</v>
      </c>
      <c r="AV14" s="136" t="s">
        <v>390</v>
      </c>
      <c r="AW14" s="136" t="s">
        <v>390</v>
      </c>
      <c r="AX14" s="136" t="s">
        <v>390</v>
      </c>
      <c r="AY14" s="136" t="s">
        <v>390</v>
      </c>
      <c r="AZ14" s="85"/>
      <c r="BA14" s="136" t="s">
        <v>390</v>
      </c>
      <c r="BB14" s="136" t="s">
        <v>390</v>
      </c>
      <c r="BC14" s="136" t="s">
        <v>390</v>
      </c>
      <c r="BD14" s="136" t="s">
        <v>390</v>
      </c>
      <c r="BE14" s="127"/>
    </row>
    <row r="15" spans="1:57" ht="15.6">
      <c r="A15" s="97">
        <v>14</v>
      </c>
      <c r="B15" s="361"/>
      <c r="C15" s="358"/>
      <c r="D15" s="79"/>
      <c r="E15" s="90" t="s">
        <v>15</v>
      </c>
      <c r="F15" s="366"/>
      <c r="G15" s="80"/>
      <c r="H15" s="116" t="s">
        <v>385</v>
      </c>
      <c r="I15" s="155">
        <f t="shared" si="0"/>
        <v>40</v>
      </c>
      <c r="J15" s="156">
        <f t="shared" si="1"/>
        <v>4</v>
      </c>
      <c r="K15" s="136" t="s">
        <v>390</v>
      </c>
      <c r="L15" s="136" t="s">
        <v>390</v>
      </c>
      <c r="M15" s="136" t="s">
        <v>390</v>
      </c>
      <c r="N15" s="136" t="s">
        <v>390</v>
      </c>
      <c r="O15" s="136" t="s">
        <v>390</v>
      </c>
      <c r="P15" s="136" t="s">
        <v>390</v>
      </c>
      <c r="Q15" s="136" t="s">
        <v>390</v>
      </c>
      <c r="R15" s="136" t="s">
        <v>390</v>
      </c>
      <c r="S15" s="136" t="s">
        <v>390</v>
      </c>
      <c r="T15" s="136" t="s">
        <v>390</v>
      </c>
      <c r="U15" s="136" t="s">
        <v>390</v>
      </c>
      <c r="V15" s="123"/>
      <c r="W15" s="136" t="s">
        <v>390</v>
      </c>
      <c r="X15" s="136" t="s">
        <v>390</v>
      </c>
      <c r="Y15" s="136" t="s">
        <v>390</v>
      </c>
      <c r="Z15" s="136" t="s">
        <v>390</v>
      </c>
      <c r="AA15" s="136" t="s">
        <v>390</v>
      </c>
      <c r="AB15" s="136" t="s">
        <v>390</v>
      </c>
      <c r="AC15" s="136" t="s">
        <v>390</v>
      </c>
      <c r="AD15" s="136" t="s">
        <v>390</v>
      </c>
      <c r="AE15" s="136" t="s">
        <v>390</v>
      </c>
      <c r="AF15" s="136" t="s">
        <v>390</v>
      </c>
      <c r="AG15" s="136" t="s">
        <v>390</v>
      </c>
      <c r="AH15" s="136" t="s">
        <v>390</v>
      </c>
      <c r="AI15" s="136" t="s">
        <v>390</v>
      </c>
      <c r="AJ15" s="136" t="s">
        <v>390</v>
      </c>
      <c r="AK15" s="136" t="s">
        <v>390</v>
      </c>
      <c r="AL15" s="136" t="s">
        <v>390</v>
      </c>
      <c r="AM15" s="136" t="s">
        <v>390</v>
      </c>
      <c r="AN15" s="136" t="s">
        <v>390</v>
      </c>
      <c r="AO15" s="136" t="s">
        <v>384</v>
      </c>
      <c r="AP15" s="136" t="s">
        <v>384</v>
      </c>
      <c r="AQ15" s="136" t="s">
        <v>384</v>
      </c>
      <c r="AR15" s="136" t="s">
        <v>384</v>
      </c>
      <c r="AS15" s="136" t="s">
        <v>390</v>
      </c>
      <c r="AT15" s="136" t="s">
        <v>390</v>
      </c>
      <c r="AU15" s="136" t="s">
        <v>390</v>
      </c>
      <c r="AV15" s="136" t="s">
        <v>390</v>
      </c>
      <c r="AW15" s="136" t="s">
        <v>390</v>
      </c>
      <c r="AX15" s="136" t="s">
        <v>390</v>
      </c>
      <c r="AY15" s="136" t="s">
        <v>390</v>
      </c>
      <c r="AZ15" s="85"/>
      <c r="BA15" s="136" t="s">
        <v>390</v>
      </c>
      <c r="BB15" s="136" t="s">
        <v>390</v>
      </c>
      <c r="BC15" s="136" t="s">
        <v>390</v>
      </c>
      <c r="BD15" s="136" t="s">
        <v>390</v>
      </c>
      <c r="BE15" s="127"/>
    </row>
    <row r="16" spans="1:57" ht="15.6">
      <c r="A16" s="97">
        <v>15</v>
      </c>
      <c r="B16" s="361"/>
      <c r="C16" s="358"/>
      <c r="D16" s="85"/>
      <c r="E16" s="90" t="s">
        <v>391</v>
      </c>
      <c r="F16" s="366"/>
      <c r="G16" s="80"/>
      <c r="H16" s="116" t="s">
        <v>386</v>
      </c>
      <c r="I16" s="155">
        <f t="shared" si="0"/>
        <v>0</v>
      </c>
      <c r="J16" s="156">
        <f t="shared" si="1"/>
        <v>44</v>
      </c>
      <c r="K16" s="136" t="s">
        <v>384</v>
      </c>
      <c r="L16" s="136" t="s">
        <v>384</v>
      </c>
      <c r="M16" s="136" t="s">
        <v>384</v>
      </c>
      <c r="N16" s="136" t="s">
        <v>384</v>
      </c>
      <c r="O16" s="136" t="s">
        <v>384</v>
      </c>
      <c r="P16" s="136" t="s">
        <v>384</v>
      </c>
      <c r="Q16" s="136" t="s">
        <v>384</v>
      </c>
      <c r="R16" s="136" t="s">
        <v>384</v>
      </c>
      <c r="S16" s="136" t="s">
        <v>384</v>
      </c>
      <c r="T16" s="136" t="s">
        <v>384</v>
      </c>
      <c r="U16" s="136" t="s">
        <v>384</v>
      </c>
      <c r="V16" s="123"/>
      <c r="W16" s="136" t="s">
        <v>384</v>
      </c>
      <c r="X16" s="136" t="s">
        <v>384</v>
      </c>
      <c r="Y16" s="136" t="s">
        <v>384</v>
      </c>
      <c r="Z16" s="136" t="s">
        <v>384</v>
      </c>
      <c r="AA16" s="136" t="s">
        <v>384</v>
      </c>
      <c r="AB16" s="136" t="s">
        <v>384</v>
      </c>
      <c r="AC16" s="136" t="s">
        <v>384</v>
      </c>
      <c r="AD16" s="136" t="s">
        <v>384</v>
      </c>
      <c r="AE16" s="136" t="s">
        <v>384</v>
      </c>
      <c r="AF16" s="136" t="s">
        <v>384</v>
      </c>
      <c r="AG16" s="136" t="s">
        <v>384</v>
      </c>
      <c r="AH16" s="136" t="s">
        <v>384</v>
      </c>
      <c r="AI16" s="136" t="s">
        <v>384</v>
      </c>
      <c r="AJ16" s="136" t="s">
        <v>384</v>
      </c>
      <c r="AK16" s="136" t="s">
        <v>384</v>
      </c>
      <c r="AL16" s="136" t="s">
        <v>384</v>
      </c>
      <c r="AM16" s="136" t="s">
        <v>384</v>
      </c>
      <c r="AN16" s="136" t="s">
        <v>384</v>
      </c>
      <c r="AO16" s="136" t="s">
        <v>384</v>
      </c>
      <c r="AP16" s="136" t="s">
        <v>384</v>
      </c>
      <c r="AQ16" s="136" t="s">
        <v>384</v>
      </c>
      <c r="AR16" s="136" t="s">
        <v>384</v>
      </c>
      <c r="AS16" s="136" t="s">
        <v>384</v>
      </c>
      <c r="AT16" s="136" t="s">
        <v>384</v>
      </c>
      <c r="AU16" s="136" t="s">
        <v>384</v>
      </c>
      <c r="AV16" s="136" t="s">
        <v>384</v>
      </c>
      <c r="AW16" s="136" t="s">
        <v>384</v>
      </c>
      <c r="AX16" s="136" t="s">
        <v>384</v>
      </c>
      <c r="AY16" s="136" t="s">
        <v>384</v>
      </c>
      <c r="AZ16" s="85"/>
      <c r="BA16" s="136" t="s">
        <v>384</v>
      </c>
      <c r="BB16" s="136" t="s">
        <v>384</v>
      </c>
      <c r="BC16" s="136" t="s">
        <v>384</v>
      </c>
      <c r="BD16" s="136" t="s">
        <v>384</v>
      </c>
      <c r="BE16" s="127"/>
    </row>
    <row r="17" spans="1:57" ht="14.45">
      <c r="A17" s="137">
        <v>16</v>
      </c>
      <c r="B17" s="362"/>
      <c r="C17" s="359"/>
      <c r="D17" s="138"/>
      <c r="E17" s="139" t="s">
        <v>391</v>
      </c>
      <c r="F17" s="140"/>
      <c r="G17" s="141"/>
      <c r="H17" s="142" t="s">
        <v>387</v>
      </c>
      <c r="I17" s="155">
        <f t="shared" ref="I17" si="2">COUNTIF(K17:BE17,"P")</f>
        <v>0</v>
      </c>
      <c r="J17" s="156">
        <f t="shared" ref="J17" si="3">COUNTIF(K17:BE17,"O")</f>
        <v>44</v>
      </c>
      <c r="K17" s="143" t="s">
        <v>384</v>
      </c>
      <c r="L17" s="143" t="s">
        <v>384</v>
      </c>
      <c r="M17" s="143" t="s">
        <v>384</v>
      </c>
      <c r="N17" s="143" t="s">
        <v>384</v>
      </c>
      <c r="O17" s="143" t="s">
        <v>384</v>
      </c>
      <c r="P17" s="143" t="s">
        <v>384</v>
      </c>
      <c r="Q17" s="143" t="s">
        <v>384</v>
      </c>
      <c r="R17" s="143" t="s">
        <v>384</v>
      </c>
      <c r="S17" s="143" t="s">
        <v>384</v>
      </c>
      <c r="T17" s="143" t="s">
        <v>384</v>
      </c>
      <c r="U17" s="143" t="s">
        <v>384</v>
      </c>
      <c r="V17" s="143"/>
      <c r="W17" s="143" t="s">
        <v>384</v>
      </c>
      <c r="X17" s="143" t="s">
        <v>384</v>
      </c>
      <c r="Y17" s="143" t="s">
        <v>384</v>
      </c>
      <c r="Z17" s="143" t="s">
        <v>384</v>
      </c>
      <c r="AA17" s="143" t="s">
        <v>384</v>
      </c>
      <c r="AB17" s="143" t="s">
        <v>384</v>
      </c>
      <c r="AC17" s="143" t="s">
        <v>384</v>
      </c>
      <c r="AD17" s="143" t="s">
        <v>384</v>
      </c>
      <c r="AE17" s="143" t="s">
        <v>384</v>
      </c>
      <c r="AF17" s="143" t="s">
        <v>384</v>
      </c>
      <c r="AG17" s="143" t="s">
        <v>384</v>
      </c>
      <c r="AH17" s="143" t="s">
        <v>384</v>
      </c>
      <c r="AI17" s="143" t="s">
        <v>384</v>
      </c>
      <c r="AJ17" s="143" t="s">
        <v>384</v>
      </c>
      <c r="AK17" s="143" t="s">
        <v>384</v>
      </c>
      <c r="AL17" s="143" t="s">
        <v>384</v>
      </c>
      <c r="AM17" s="143" t="s">
        <v>384</v>
      </c>
      <c r="AN17" s="143" t="s">
        <v>384</v>
      </c>
      <c r="AO17" s="143" t="s">
        <v>384</v>
      </c>
      <c r="AP17" s="143" t="s">
        <v>384</v>
      </c>
      <c r="AQ17" s="143" t="s">
        <v>384</v>
      </c>
      <c r="AR17" s="143" t="s">
        <v>384</v>
      </c>
      <c r="AS17" s="143" t="s">
        <v>384</v>
      </c>
      <c r="AT17" s="143" t="s">
        <v>384</v>
      </c>
      <c r="AU17" s="143" t="s">
        <v>384</v>
      </c>
      <c r="AV17" s="143" t="s">
        <v>384</v>
      </c>
      <c r="AW17" s="143" t="s">
        <v>384</v>
      </c>
      <c r="AX17" s="143" t="s">
        <v>384</v>
      </c>
      <c r="AY17" s="143" t="s">
        <v>384</v>
      </c>
      <c r="AZ17" s="138"/>
      <c r="BA17" s="143" t="s">
        <v>384</v>
      </c>
      <c r="BB17" s="143" t="s">
        <v>384</v>
      </c>
      <c r="BC17" s="143" t="s">
        <v>384</v>
      </c>
      <c r="BD17" s="143" t="s">
        <v>384</v>
      </c>
      <c r="BE17" s="144"/>
    </row>
    <row r="18" spans="1:57" ht="15.6">
      <c r="A18" s="102">
        <v>17</v>
      </c>
      <c r="B18" s="370" t="s">
        <v>95</v>
      </c>
      <c r="C18" s="385" t="s">
        <v>392</v>
      </c>
      <c r="D18" s="106" t="s">
        <v>19</v>
      </c>
      <c r="E18" s="103" t="s">
        <v>20</v>
      </c>
      <c r="F18" s="105"/>
      <c r="G18" s="105"/>
      <c r="H18" s="115" t="s">
        <v>383</v>
      </c>
      <c r="I18" s="153">
        <f t="shared" ref="I18:I60" si="4">COUNTIF(K18:BE18,"P")</f>
        <v>0</v>
      </c>
      <c r="J18" s="154">
        <f t="shared" ref="J18:J60" si="5">COUNTIF(K18:BE18,"O")</f>
        <v>44</v>
      </c>
      <c r="K18" s="135" t="s">
        <v>384</v>
      </c>
      <c r="L18" s="135" t="s">
        <v>384</v>
      </c>
      <c r="M18" s="135" t="s">
        <v>384</v>
      </c>
      <c r="N18" s="135" t="s">
        <v>384</v>
      </c>
      <c r="O18" s="135" t="s">
        <v>384</v>
      </c>
      <c r="P18" s="135" t="s">
        <v>384</v>
      </c>
      <c r="Q18" s="135" t="s">
        <v>384</v>
      </c>
      <c r="R18" s="135" t="s">
        <v>384</v>
      </c>
      <c r="S18" s="135" t="s">
        <v>384</v>
      </c>
      <c r="T18" s="135" t="s">
        <v>384</v>
      </c>
      <c r="U18" s="135" t="s">
        <v>384</v>
      </c>
      <c r="V18" s="135"/>
      <c r="W18" s="135" t="s">
        <v>384</v>
      </c>
      <c r="X18" s="135" t="s">
        <v>384</v>
      </c>
      <c r="Y18" s="135" t="s">
        <v>384</v>
      </c>
      <c r="Z18" s="135" t="s">
        <v>384</v>
      </c>
      <c r="AA18" s="135" t="s">
        <v>384</v>
      </c>
      <c r="AB18" s="135" t="s">
        <v>384</v>
      </c>
      <c r="AC18" s="135" t="s">
        <v>384</v>
      </c>
      <c r="AD18" s="135" t="s">
        <v>384</v>
      </c>
      <c r="AE18" s="135" t="s">
        <v>384</v>
      </c>
      <c r="AF18" s="135" t="s">
        <v>384</v>
      </c>
      <c r="AG18" s="135" t="s">
        <v>384</v>
      </c>
      <c r="AH18" s="135" t="s">
        <v>384</v>
      </c>
      <c r="AI18" s="135" t="s">
        <v>384</v>
      </c>
      <c r="AJ18" s="135" t="s">
        <v>384</v>
      </c>
      <c r="AK18" s="135" t="s">
        <v>384</v>
      </c>
      <c r="AL18" s="135" t="s">
        <v>384</v>
      </c>
      <c r="AM18" s="135" t="s">
        <v>384</v>
      </c>
      <c r="AN18" s="135" t="s">
        <v>384</v>
      </c>
      <c r="AO18" s="135" t="s">
        <v>384</v>
      </c>
      <c r="AP18" s="135" t="s">
        <v>384</v>
      </c>
      <c r="AQ18" s="135" t="s">
        <v>384</v>
      </c>
      <c r="AR18" s="135" t="s">
        <v>384</v>
      </c>
      <c r="AS18" s="135" t="s">
        <v>384</v>
      </c>
      <c r="AT18" s="135" t="s">
        <v>384</v>
      </c>
      <c r="AU18" s="135" t="s">
        <v>384</v>
      </c>
      <c r="AV18" s="135" t="s">
        <v>384</v>
      </c>
      <c r="AW18" s="135" t="s">
        <v>384</v>
      </c>
      <c r="AX18" s="135" t="s">
        <v>384</v>
      </c>
      <c r="AY18" s="135" t="s">
        <v>384</v>
      </c>
      <c r="AZ18" s="125"/>
      <c r="BA18" s="135" t="s">
        <v>384</v>
      </c>
      <c r="BB18" s="135" t="s">
        <v>384</v>
      </c>
      <c r="BC18" s="135" t="s">
        <v>384</v>
      </c>
      <c r="BD18" s="135" t="s">
        <v>384</v>
      </c>
      <c r="BE18" s="126"/>
    </row>
    <row r="19" spans="1:57" ht="15.6">
      <c r="A19" s="97">
        <v>18</v>
      </c>
      <c r="B19" s="371"/>
      <c r="C19" s="386"/>
      <c r="D19" s="81"/>
      <c r="E19" s="90" t="s">
        <v>20</v>
      </c>
      <c r="F19" s="80"/>
      <c r="G19" s="80"/>
      <c r="H19" s="116" t="s">
        <v>385</v>
      </c>
      <c r="I19" s="155">
        <f t="shared" si="4"/>
        <v>0</v>
      </c>
      <c r="J19" s="156">
        <f t="shared" si="5"/>
        <v>44</v>
      </c>
      <c r="K19" s="136" t="s">
        <v>384</v>
      </c>
      <c r="L19" s="136" t="s">
        <v>384</v>
      </c>
      <c r="M19" s="136" t="s">
        <v>384</v>
      </c>
      <c r="N19" s="136" t="s">
        <v>384</v>
      </c>
      <c r="O19" s="136" t="s">
        <v>384</v>
      </c>
      <c r="P19" s="136" t="s">
        <v>384</v>
      </c>
      <c r="Q19" s="136" t="s">
        <v>384</v>
      </c>
      <c r="R19" s="136" t="s">
        <v>384</v>
      </c>
      <c r="S19" s="136" t="s">
        <v>384</v>
      </c>
      <c r="T19" s="136" t="s">
        <v>384</v>
      </c>
      <c r="U19" s="136" t="s">
        <v>384</v>
      </c>
      <c r="V19" s="136"/>
      <c r="W19" s="136" t="s">
        <v>384</v>
      </c>
      <c r="X19" s="136" t="s">
        <v>384</v>
      </c>
      <c r="Y19" s="136" t="s">
        <v>384</v>
      </c>
      <c r="Z19" s="136" t="s">
        <v>384</v>
      </c>
      <c r="AA19" s="136" t="s">
        <v>384</v>
      </c>
      <c r="AB19" s="136" t="s">
        <v>384</v>
      </c>
      <c r="AC19" s="136" t="s">
        <v>384</v>
      </c>
      <c r="AD19" s="136" t="s">
        <v>384</v>
      </c>
      <c r="AE19" s="136" t="s">
        <v>384</v>
      </c>
      <c r="AF19" s="136" t="s">
        <v>384</v>
      </c>
      <c r="AG19" s="136" t="s">
        <v>384</v>
      </c>
      <c r="AH19" s="136" t="s">
        <v>384</v>
      </c>
      <c r="AI19" s="136" t="s">
        <v>384</v>
      </c>
      <c r="AJ19" s="136" t="s">
        <v>384</v>
      </c>
      <c r="AK19" s="136" t="s">
        <v>384</v>
      </c>
      <c r="AL19" s="136" t="s">
        <v>384</v>
      </c>
      <c r="AM19" s="136" t="s">
        <v>384</v>
      </c>
      <c r="AN19" s="136" t="s">
        <v>384</v>
      </c>
      <c r="AO19" s="136" t="s">
        <v>384</v>
      </c>
      <c r="AP19" s="136" t="s">
        <v>384</v>
      </c>
      <c r="AQ19" s="136" t="s">
        <v>384</v>
      </c>
      <c r="AR19" s="136" t="s">
        <v>384</v>
      </c>
      <c r="AS19" s="136" t="s">
        <v>384</v>
      </c>
      <c r="AT19" s="136" t="s">
        <v>384</v>
      </c>
      <c r="AU19" s="136" t="s">
        <v>384</v>
      </c>
      <c r="AV19" s="136" t="s">
        <v>384</v>
      </c>
      <c r="AW19" s="136" t="s">
        <v>384</v>
      </c>
      <c r="AX19" s="136" t="s">
        <v>384</v>
      </c>
      <c r="AY19" s="136" t="s">
        <v>384</v>
      </c>
      <c r="AZ19" s="85"/>
      <c r="BA19" s="136" t="s">
        <v>384</v>
      </c>
      <c r="BB19" s="136" t="s">
        <v>384</v>
      </c>
      <c r="BC19" s="136" t="s">
        <v>384</v>
      </c>
      <c r="BD19" s="136" t="s">
        <v>384</v>
      </c>
      <c r="BE19" s="127"/>
    </row>
    <row r="20" spans="1:57" ht="15.6">
      <c r="A20" s="97">
        <v>19</v>
      </c>
      <c r="B20" s="371"/>
      <c r="C20" s="386" t="s">
        <v>393</v>
      </c>
      <c r="D20" s="81" t="s">
        <v>394</v>
      </c>
      <c r="E20" s="90" t="s">
        <v>23</v>
      </c>
      <c r="F20" s="80"/>
      <c r="G20" s="80"/>
      <c r="H20" s="116" t="s">
        <v>386</v>
      </c>
      <c r="I20" s="155">
        <f t="shared" si="4"/>
        <v>0</v>
      </c>
      <c r="J20" s="156">
        <f t="shared" si="5"/>
        <v>44</v>
      </c>
      <c r="K20" s="136" t="s">
        <v>384</v>
      </c>
      <c r="L20" s="136" t="s">
        <v>384</v>
      </c>
      <c r="M20" s="136" t="s">
        <v>384</v>
      </c>
      <c r="N20" s="136" t="s">
        <v>384</v>
      </c>
      <c r="O20" s="136" t="s">
        <v>384</v>
      </c>
      <c r="P20" s="136" t="s">
        <v>384</v>
      </c>
      <c r="Q20" s="136" t="s">
        <v>384</v>
      </c>
      <c r="R20" s="136" t="s">
        <v>384</v>
      </c>
      <c r="S20" s="136" t="s">
        <v>384</v>
      </c>
      <c r="T20" s="136" t="s">
        <v>384</v>
      </c>
      <c r="U20" s="136" t="s">
        <v>384</v>
      </c>
      <c r="V20" s="136"/>
      <c r="W20" s="136" t="s">
        <v>384</v>
      </c>
      <c r="X20" s="136" t="s">
        <v>384</v>
      </c>
      <c r="Y20" s="136" t="s">
        <v>384</v>
      </c>
      <c r="Z20" s="136" t="s">
        <v>384</v>
      </c>
      <c r="AA20" s="136" t="s">
        <v>384</v>
      </c>
      <c r="AB20" s="136" t="s">
        <v>384</v>
      </c>
      <c r="AC20" s="136" t="s">
        <v>384</v>
      </c>
      <c r="AD20" s="136" t="s">
        <v>384</v>
      </c>
      <c r="AE20" s="136" t="s">
        <v>384</v>
      </c>
      <c r="AF20" s="136" t="s">
        <v>384</v>
      </c>
      <c r="AG20" s="136" t="s">
        <v>384</v>
      </c>
      <c r="AH20" s="136" t="s">
        <v>384</v>
      </c>
      <c r="AI20" s="136" t="s">
        <v>384</v>
      </c>
      <c r="AJ20" s="136" t="s">
        <v>384</v>
      </c>
      <c r="AK20" s="136" t="s">
        <v>384</v>
      </c>
      <c r="AL20" s="136" t="s">
        <v>384</v>
      </c>
      <c r="AM20" s="136" t="s">
        <v>384</v>
      </c>
      <c r="AN20" s="136" t="s">
        <v>384</v>
      </c>
      <c r="AO20" s="136" t="s">
        <v>384</v>
      </c>
      <c r="AP20" s="136" t="s">
        <v>384</v>
      </c>
      <c r="AQ20" s="136" t="s">
        <v>384</v>
      </c>
      <c r="AR20" s="136" t="s">
        <v>384</v>
      </c>
      <c r="AS20" s="136" t="s">
        <v>384</v>
      </c>
      <c r="AT20" s="136" t="s">
        <v>384</v>
      </c>
      <c r="AU20" s="136" t="s">
        <v>384</v>
      </c>
      <c r="AV20" s="136" t="s">
        <v>384</v>
      </c>
      <c r="AW20" s="136" t="s">
        <v>384</v>
      </c>
      <c r="AX20" s="136" t="s">
        <v>384</v>
      </c>
      <c r="AY20" s="136" t="s">
        <v>384</v>
      </c>
      <c r="AZ20" s="85"/>
      <c r="BA20" s="136" t="s">
        <v>384</v>
      </c>
      <c r="BB20" s="136" t="s">
        <v>384</v>
      </c>
      <c r="BC20" s="136" t="s">
        <v>384</v>
      </c>
      <c r="BD20" s="136" t="s">
        <v>384</v>
      </c>
      <c r="BE20" s="127"/>
    </row>
    <row r="21" spans="1:57" ht="15.6">
      <c r="A21" s="97">
        <v>20</v>
      </c>
      <c r="B21" s="371"/>
      <c r="C21" s="386"/>
      <c r="D21" s="81"/>
      <c r="E21" s="90" t="s">
        <v>23</v>
      </c>
      <c r="F21" s="80"/>
      <c r="G21" s="80"/>
      <c r="H21" s="116" t="s">
        <v>387</v>
      </c>
      <c r="I21" s="155">
        <f t="shared" si="4"/>
        <v>0</v>
      </c>
      <c r="J21" s="156">
        <f t="shared" si="5"/>
        <v>44</v>
      </c>
      <c r="K21" s="136" t="s">
        <v>384</v>
      </c>
      <c r="L21" s="136" t="s">
        <v>384</v>
      </c>
      <c r="M21" s="136" t="s">
        <v>384</v>
      </c>
      <c r="N21" s="136" t="s">
        <v>384</v>
      </c>
      <c r="O21" s="136" t="s">
        <v>384</v>
      </c>
      <c r="P21" s="136" t="s">
        <v>384</v>
      </c>
      <c r="Q21" s="136" t="s">
        <v>384</v>
      </c>
      <c r="R21" s="136" t="s">
        <v>384</v>
      </c>
      <c r="S21" s="136" t="s">
        <v>384</v>
      </c>
      <c r="T21" s="136" t="s">
        <v>384</v>
      </c>
      <c r="U21" s="136" t="s">
        <v>384</v>
      </c>
      <c r="V21" s="136"/>
      <c r="W21" s="136" t="s">
        <v>384</v>
      </c>
      <c r="X21" s="136" t="s">
        <v>384</v>
      </c>
      <c r="Y21" s="136" t="s">
        <v>384</v>
      </c>
      <c r="Z21" s="136" t="s">
        <v>384</v>
      </c>
      <c r="AA21" s="136" t="s">
        <v>384</v>
      </c>
      <c r="AB21" s="136" t="s">
        <v>384</v>
      </c>
      <c r="AC21" s="136" t="s">
        <v>384</v>
      </c>
      <c r="AD21" s="136" t="s">
        <v>384</v>
      </c>
      <c r="AE21" s="136" t="s">
        <v>384</v>
      </c>
      <c r="AF21" s="136" t="s">
        <v>384</v>
      </c>
      <c r="AG21" s="136" t="s">
        <v>384</v>
      </c>
      <c r="AH21" s="136" t="s">
        <v>384</v>
      </c>
      <c r="AI21" s="136" t="s">
        <v>384</v>
      </c>
      <c r="AJ21" s="136" t="s">
        <v>384</v>
      </c>
      <c r="AK21" s="136" t="s">
        <v>384</v>
      </c>
      <c r="AL21" s="136" t="s">
        <v>384</v>
      </c>
      <c r="AM21" s="136" t="s">
        <v>384</v>
      </c>
      <c r="AN21" s="136" t="s">
        <v>384</v>
      </c>
      <c r="AO21" s="136" t="s">
        <v>384</v>
      </c>
      <c r="AP21" s="136" t="s">
        <v>384</v>
      </c>
      <c r="AQ21" s="136" t="s">
        <v>384</v>
      </c>
      <c r="AR21" s="136" t="s">
        <v>384</v>
      </c>
      <c r="AS21" s="136" t="s">
        <v>384</v>
      </c>
      <c r="AT21" s="136" t="s">
        <v>384</v>
      </c>
      <c r="AU21" s="136" t="s">
        <v>384</v>
      </c>
      <c r="AV21" s="136" t="s">
        <v>384</v>
      </c>
      <c r="AW21" s="136" t="s">
        <v>384</v>
      </c>
      <c r="AX21" s="136" t="s">
        <v>384</v>
      </c>
      <c r="AY21" s="136" t="s">
        <v>384</v>
      </c>
      <c r="AZ21" s="85"/>
      <c r="BA21" s="136" t="s">
        <v>384</v>
      </c>
      <c r="BB21" s="136" t="s">
        <v>384</v>
      </c>
      <c r="BC21" s="136" t="s">
        <v>384</v>
      </c>
      <c r="BD21" s="136" t="s">
        <v>384</v>
      </c>
      <c r="BE21" s="127"/>
    </row>
    <row r="22" spans="1:57" ht="15.6">
      <c r="A22" s="97">
        <v>21</v>
      </c>
      <c r="B22" s="371"/>
      <c r="C22" s="386" t="s">
        <v>395</v>
      </c>
      <c r="D22" s="81" t="s">
        <v>25</v>
      </c>
      <c r="E22" s="90" t="s">
        <v>26</v>
      </c>
      <c r="F22" s="87"/>
      <c r="G22" s="80"/>
      <c r="H22" s="116" t="s">
        <v>386</v>
      </c>
      <c r="I22" s="155">
        <f t="shared" si="4"/>
        <v>0</v>
      </c>
      <c r="J22" s="156">
        <f t="shared" si="5"/>
        <v>44</v>
      </c>
      <c r="K22" s="136" t="s">
        <v>384</v>
      </c>
      <c r="L22" s="136" t="s">
        <v>384</v>
      </c>
      <c r="M22" s="136" t="s">
        <v>384</v>
      </c>
      <c r="N22" s="136" t="s">
        <v>384</v>
      </c>
      <c r="O22" s="136" t="s">
        <v>384</v>
      </c>
      <c r="P22" s="136" t="s">
        <v>384</v>
      </c>
      <c r="Q22" s="136" t="s">
        <v>384</v>
      </c>
      <c r="R22" s="136" t="s">
        <v>384</v>
      </c>
      <c r="S22" s="136" t="s">
        <v>384</v>
      </c>
      <c r="T22" s="136" t="s">
        <v>384</v>
      </c>
      <c r="U22" s="136" t="s">
        <v>384</v>
      </c>
      <c r="V22" s="136"/>
      <c r="W22" s="136" t="s">
        <v>384</v>
      </c>
      <c r="X22" s="136" t="s">
        <v>384</v>
      </c>
      <c r="Y22" s="136" t="s">
        <v>384</v>
      </c>
      <c r="Z22" s="136" t="s">
        <v>384</v>
      </c>
      <c r="AA22" s="136" t="s">
        <v>384</v>
      </c>
      <c r="AB22" s="136" t="s">
        <v>384</v>
      </c>
      <c r="AC22" s="136" t="s">
        <v>384</v>
      </c>
      <c r="AD22" s="136" t="s">
        <v>384</v>
      </c>
      <c r="AE22" s="136" t="s">
        <v>384</v>
      </c>
      <c r="AF22" s="136" t="s">
        <v>384</v>
      </c>
      <c r="AG22" s="136" t="s">
        <v>384</v>
      </c>
      <c r="AH22" s="136" t="s">
        <v>384</v>
      </c>
      <c r="AI22" s="136" t="s">
        <v>384</v>
      </c>
      <c r="AJ22" s="136" t="s">
        <v>384</v>
      </c>
      <c r="AK22" s="136" t="s">
        <v>384</v>
      </c>
      <c r="AL22" s="136" t="s">
        <v>384</v>
      </c>
      <c r="AM22" s="136" t="s">
        <v>384</v>
      </c>
      <c r="AN22" s="136" t="s">
        <v>384</v>
      </c>
      <c r="AO22" s="136" t="s">
        <v>384</v>
      </c>
      <c r="AP22" s="136" t="s">
        <v>384</v>
      </c>
      <c r="AQ22" s="136" t="s">
        <v>384</v>
      </c>
      <c r="AR22" s="136" t="s">
        <v>384</v>
      </c>
      <c r="AS22" s="136" t="s">
        <v>384</v>
      </c>
      <c r="AT22" s="136" t="s">
        <v>384</v>
      </c>
      <c r="AU22" s="136" t="s">
        <v>384</v>
      </c>
      <c r="AV22" s="136" t="s">
        <v>384</v>
      </c>
      <c r="AW22" s="136" t="s">
        <v>384</v>
      </c>
      <c r="AX22" s="136" t="s">
        <v>384</v>
      </c>
      <c r="AY22" s="136" t="s">
        <v>384</v>
      </c>
      <c r="AZ22" s="85"/>
      <c r="BA22" s="136" t="s">
        <v>384</v>
      </c>
      <c r="BB22" s="136" t="s">
        <v>384</v>
      </c>
      <c r="BC22" s="136" t="s">
        <v>384</v>
      </c>
      <c r="BD22" s="136" t="s">
        <v>384</v>
      </c>
      <c r="BE22" s="127"/>
    </row>
    <row r="23" spans="1:57" ht="15.6">
      <c r="A23" s="97">
        <v>22</v>
      </c>
      <c r="B23" s="371"/>
      <c r="C23" s="386"/>
      <c r="D23" s="81"/>
      <c r="E23" s="90" t="s">
        <v>26</v>
      </c>
      <c r="F23" s="87"/>
      <c r="G23" s="80"/>
      <c r="H23" s="116" t="s">
        <v>387</v>
      </c>
      <c r="I23" s="155">
        <f t="shared" si="4"/>
        <v>0</v>
      </c>
      <c r="J23" s="156">
        <f t="shared" si="5"/>
        <v>44</v>
      </c>
      <c r="K23" s="136" t="s">
        <v>384</v>
      </c>
      <c r="L23" s="136" t="s">
        <v>384</v>
      </c>
      <c r="M23" s="136" t="s">
        <v>384</v>
      </c>
      <c r="N23" s="136" t="s">
        <v>384</v>
      </c>
      <c r="O23" s="136" t="s">
        <v>384</v>
      </c>
      <c r="P23" s="136" t="s">
        <v>384</v>
      </c>
      <c r="Q23" s="136" t="s">
        <v>384</v>
      </c>
      <c r="R23" s="136" t="s">
        <v>384</v>
      </c>
      <c r="S23" s="136" t="s">
        <v>384</v>
      </c>
      <c r="T23" s="136" t="s">
        <v>384</v>
      </c>
      <c r="U23" s="136" t="s">
        <v>384</v>
      </c>
      <c r="V23" s="136"/>
      <c r="W23" s="136" t="s">
        <v>384</v>
      </c>
      <c r="X23" s="136" t="s">
        <v>384</v>
      </c>
      <c r="Y23" s="136" t="s">
        <v>384</v>
      </c>
      <c r="Z23" s="136" t="s">
        <v>384</v>
      </c>
      <c r="AA23" s="136" t="s">
        <v>384</v>
      </c>
      <c r="AB23" s="136" t="s">
        <v>384</v>
      </c>
      <c r="AC23" s="136" t="s">
        <v>384</v>
      </c>
      <c r="AD23" s="136" t="s">
        <v>384</v>
      </c>
      <c r="AE23" s="136" t="s">
        <v>384</v>
      </c>
      <c r="AF23" s="136" t="s">
        <v>384</v>
      </c>
      <c r="AG23" s="136" t="s">
        <v>384</v>
      </c>
      <c r="AH23" s="136" t="s">
        <v>384</v>
      </c>
      <c r="AI23" s="136" t="s">
        <v>384</v>
      </c>
      <c r="AJ23" s="136" t="s">
        <v>384</v>
      </c>
      <c r="AK23" s="136" t="s">
        <v>384</v>
      </c>
      <c r="AL23" s="136" t="s">
        <v>384</v>
      </c>
      <c r="AM23" s="136" t="s">
        <v>384</v>
      </c>
      <c r="AN23" s="136" t="s">
        <v>384</v>
      </c>
      <c r="AO23" s="136" t="s">
        <v>384</v>
      </c>
      <c r="AP23" s="136" t="s">
        <v>384</v>
      </c>
      <c r="AQ23" s="136" t="s">
        <v>384</v>
      </c>
      <c r="AR23" s="136" t="s">
        <v>384</v>
      </c>
      <c r="AS23" s="136" t="s">
        <v>384</v>
      </c>
      <c r="AT23" s="136" t="s">
        <v>384</v>
      </c>
      <c r="AU23" s="136" t="s">
        <v>384</v>
      </c>
      <c r="AV23" s="136" t="s">
        <v>384</v>
      </c>
      <c r="AW23" s="136" t="s">
        <v>384</v>
      </c>
      <c r="AX23" s="136" t="s">
        <v>384</v>
      </c>
      <c r="AY23" s="136" t="s">
        <v>384</v>
      </c>
      <c r="AZ23" s="85"/>
      <c r="BA23" s="136" t="s">
        <v>384</v>
      </c>
      <c r="BB23" s="136" t="s">
        <v>384</v>
      </c>
      <c r="BC23" s="136" t="s">
        <v>384</v>
      </c>
      <c r="BD23" s="136" t="s">
        <v>384</v>
      </c>
      <c r="BE23" s="127"/>
    </row>
    <row r="24" spans="1:57" ht="15.6">
      <c r="A24" s="97">
        <v>23</v>
      </c>
      <c r="B24" s="371"/>
      <c r="C24" s="386" t="s">
        <v>396</v>
      </c>
      <c r="D24" s="81" t="s">
        <v>28</v>
      </c>
      <c r="E24" s="91" t="s">
        <v>29</v>
      </c>
      <c r="F24" s="88" t="s">
        <v>397</v>
      </c>
      <c r="G24" s="82" t="s">
        <v>398</v>
      </c>
      <c r="H24" s="116" t="s">
        <v>383</v>
      </c>
      <c r="I24" s="155">
        <f t="shared" si="4"/>
        <v>44</v>
      </c>
      <c r="J24" s="156">
        <f t="shared" si="5"/>
        <v>0</v>
      </c>
      <c r="K24" s="136" t="s">
        <v>390</v>
      </c>
      <c r="L24" s="136" t="s">
        <v>390</v>
      </c>
      <c r="M24" s="136" t="s">
        <v>390</v>
      </c>
      <c r="N24" s="136" t="s">
        <v>390</v>
      </c>
      <c r="O24" s="136" t="s">
        <v>390</v>
      </c>
      <c r="P24" s="136" t="s">
        <v>390</v>
      </c>
      <c r="Q24" s="136" t="s">
        <v>390</v>
      </c>
      <c r="R24" s="136" t="s">
        <v>390</v>
      </c>
      <c r="S24" s="136" t="s">
        <v>390</v>
      </c>
      <c r="T24" s="136" t="s">
        <v>390</v>
      </c>
      <c r="U24" s="136" t="s">
        <v>390</v>
      </c>
      <c r="V24" s="121"/>
      <c r="W24" s="136" t="s">
        <v>390</v>
      </c>
      <c r="X24" s="136" t="s">
        <v>390</v>
      </c>
      <c r="Y24" s="136" t="s">
        <v>390</v>
      </c>
      <c r="Z24" s="136" t="s">
        <v>390</v>
      </c>
      <c r="AA24" s="136" t="s">
        <v>390</v>
      </c>
      <c r="AB24" s="136" t="s">
        <v>390</v>
      </c>
      <c r="AC24" s="136" t="s">
        <v>390</v>
      </c>
      <c r="AD24" s="136" t="s">
        <v>390</v>
      </c>
      <c r="AE24" s="136" t="s">
        <v>390</v>
      </c>
      <c r="AF24" s="136" t="s">
        <v>390</v>
      </c>
      <c r="AG24" s="136" t="s">
        <v>390</v>
      </c>
      <c r="AH24" s="136" t="s">
        <v>390</v>
      </c>
      <c r="AI24" s="136" t="s">
        <v>390</v>
      </c>
      <c r="AJ24" s="136" t="s">
        <v>390</v>
      </c>
      <c r="AK24" s="136" t="s">
        <v>390</v>
      </c>
      <c r="AL24" s="136" t="s">
        <v>390</v>
      </c>
      <c r="AM24" s="136" t="s">
        <v>390</v>
      </c>
      <c r="AN24" s="136" t="s">
        <v>390</v>
      </c>
      <c r="AO24" s="136" t="s">
        <v>390</v>
      </c>
      <c r="AP24" s="136" t="s">
        <v>390</v>
      </c>
      <c r="AQ24" s="136" t="s">
        <v>390</v>
      </c>
      <c r="AR24" s="136" t="s">
        <v>390</v>
      </c>
      <c r="AS24" s="136" t="s">
        <v>390</v>
      </c>
      <c r="AT24" s="136" t="s">
        <v>390</v>
      </c>
      <c r="AU24" s="136" t="s">
        <v>390</v>
      </c>
      <c r="AV24" s="136" t="s">
        <v>390</v>
      </c>
      <c r="AW24" s="136" t="s">
        <v>390</v>
      </c>
      <c r="AX24" s="136" t="s">
        <v>390</v>
      </c>
      <c r="AY24" s="136" t="s">
        <v>390</v>
      </c>
      <c r="AZ24" s="85"/>
      <c r="BA24" s="136" t="s">
        <v>390</v>
      </c>
      <c r="BB24" s="136" t="s">
        <v>390</v>
      </c>
      <c r="BC24" s="136" t="s">
        <v>390</v>
      </c>
      <c r="BD24" s="136" t="s">
        <v>390</v>
      </c>
      <c r="BE24" s="127"/>
    </row>
    <row r="25" spans="1:57" ht="15.6">
      <c r="A25" s="97">
        <v>24</v>
      </c>
      <c r="B25" s="371"/>
      <c r="C25" s="386"/>
      <c r="D25" s="81"/>
      <c r="E25" s="91" t="s">
        <v>29</v>
      </c>
      <c r="F25" s="88"/>
      <c r="G25" s="82"/>
      <c r="H25" s="116" t="s">
        <v>385</v>
      </c>
      <c r="I25" s="155">
        <f t="shared" si="4"/>
        <v>44</v>
      </c>
      <c r="J25" s="156">
        <f t="shared" si="5"/>
        <v>0</v>
      </c>
      <c r="K25" s="136" t="s">
        <v>390</v>
      </c>
      <c r="L25" s="136" t="s">
        <v>390</v>
      </c>
      <c r="M25" s="136" t="s">
        <v>390</v>
      </c>
      <c r="N25" s="136" t="s">
        <v>390</v>
      </c>
      <c r="O25" s="136" t="s">
        <v>390</v>
      </c>
      <c r="P25" s="136" t="s">
        <v>390</v>
      </c>
      <c r="Q25" s="136" t="s">
        <v>390</v>
      </c>
      <c r="R25" s="136" t="s">
        <v>390</v>
      </c>
      <c r="S25" s="136" t="s">
        <v>390</v>
      </c>
      <c r="T25" s="136" t="s">
        <v>390</v>
      </c>
      <c r="U25" s="136" t="s">
        <v>390</v>
      </c>
      <c r="V25" s="121"/>
      <c r="W25" s="136" t="s">
        <v>390</v>
      </c>
      <c r="X25" s="136" t="s">
        <v>390</v>
      </c>
      <c r="Y25" s="136" t="s">
        <v>390</v>
      </c>
      <c r="Z25" s="136" t="s">
        <v>390</v>
      </c>
      <c r="AA25" s="136" t="s">
        <v>390</v>
      </c>
      <c r="AB25" s="136" t="s">
        <v>390</v>
      </c>
      <c r="AC25" s="136" t="s">
        <v>390</v>
      </c>
      <c r="AD25" s="136" t="s">
        <v>390</v>
      </c>
      <c r="AE25" s="136" t="s">
        <v>390</v>
      </c>
      <c r="AF25" s="136" t="s">
        <v>390</v>
      </c>
      <c r="AG25" s="136" t="s">
        <v>390</v>
      </c>
      <c r="AH25" s="136" t="s">
        <v>390</v>
      </c>
      <c r="AI25" s="136" t="s">
        <v>390</v>
      </c>
      <c r="AJ25" s="136" t="s">
        <v>390</v>
      </c>
      <c r="AK25" s="136" t="s">
        <v>390</v>
      </c>
      <c r="AL25" s="136" t="s">
        <v>390</v>
      </c>
      <c r="AM25" s="136" t="s">
        <v>390</v>
      </c>
      <c r="AN25" s="136" t="s">
        <v>390</v>
      </c>
      <c r="AO25" s="136" t="s">
        <v>390</v>
      </c>
      <c r="AP25" s="136" t="s">
        <v>390</v>
      </c>
      <c r="AQ25" s="136" t="s">
        <v>390</v>
      </c>
      <c r="AR25" s="136" t="s">
        <v>390</v>
      </c>
      <c r="AS25" s="136" t="s">
        <v>390</v>
      </c>
      <c r="AT25" s="136" t="s">
        <v>390</v>
      </c>
      <c r="AU25" s="136" t="s">
        <v>390</v>
      </c>
      <c r="AV25" s="136" t="s">
        <v>390</v>
      </c>
      <c r="AW25" s="136" t="s">
        <v>390</v>
      </c>
      <c r="AX25" s="136" t="s">
        <v>390</v>
      </c>
      <c r="AY25" s="136" t="s">
        <v>390</v>
      </c>
      <c r="AZ25" s="85"/>
      <c r="BA25" s="136" t="s">
        <v>390</v>
      </c>
      <c r="BB25" s="136" t="s">
        <v>390</v>
      </c>
      <c r="BC25" s="136" t="s">
        <v>390</v>
      </c>
      <c r="BD25" s="136" t="s">
        <v>390</v>
      </c>
      <c r="BE25" s="127"/>
    </row>
    <row r="26" spans="1:57" ht="15.6">
      <c r="A26" s="97">
        <v>25</v>
      </c>
      <c r="B26" s="371"/>
      <c r="C26" s="386" t="s">
        <v>399</v>
      </c>
      <c r="D26" s="81" t="s">
        <v>31</v>
      </c>
      <c r="E26" s="90" t="s">
        <v>400</v>
      </c>
      <c r="F26" s="80"/>
      <c r="G26" s="80"/>
      <c r="H26" s="117"/>
      <c r="I26" s="155">
        <f t="shared" si="4"/>
        <v>0</v>
      </c>
      <c r="J26" s="156">
        <f t="shared" si="5"/>
        <v>44</v>
      </c>
      <c r="K26" s="136" t="s">
        <v>384</v>
      </c>
      <c r="L26" s="136" t="s">
        <v>384</v>
      </c>
      <c r="M26" s="136" t="s">
        <v>384</v>
      </c>
      <c r="N26" s="136" t="s">
        <v>384</v>
      </c>
      <c r="O26" s="136" t="s">
        <v>384</v>
      </c>
      <c r="P26" s="136" t="s">
        <v>384</v>
      </c>
      <c r="Q26" s="136" t="s">
        <v>384</v>
      </c>
      <c r="R26" s="136" t="s">
        <v>384</v>
      </c>
      <c r="S26" s="136" t="s">
        <v>384</v>
      </c>
      <c r="T26" s="136" t="s">
        <v>384</v>
      </c>
      <c r="U26" s="136" t="s">
        <v>384</v>
      </c>
      <c r="V26" s="136"/>
      <c r="W26" s="136" t="s">
        <v>384</v>
      </c>
      <c r="X26" s="136" t="s">
        <v>384</v>
      </c>
      <c r="Y26" s="136" t="s">
        <v>384</v>
      </c>
      <c r="Z26" s="136" t="s">
        <v>384</v>
      </c>
      <c r="AA26" s="136" t="s">
        <v>384</v>
      </c>
      <c r="AB26" s="136" t="s">
        <v>384</v>
      </c>
      <c r="AC26" s="136" t="s">
        <v>384</v>
      </c>
      <c r="AD26" s="136" t="s">
        <v>384</v>
      </c>
      <c r="AE26" s="136" t="s">
        <v>384</v>
      </c>
      <c r="AF26" s="136" t="s">
        <v>384</v>
      </c>
      <c r="AG26" s="136" t="s">
        <v>384</v>
      </c>
      <c r="AH26" s="136" t="s">
        <v>384</v>
      </c>
      <c r="AI26" s="136" t="s">
        <v>384</v>
      </c>
      <c r="AJ26" s="136" t="s">
        <v>384</v>
      </c>
      <c r="AK26" s="136" t="s">
        <v>384</v>
      </c>
      <c r="AL26" s="136" t="s">
        <v>384</v>
      </c>
      <c r="AM26" s="136" t="s">
        <v>384</v>
      </c>
      <c r="AN26" s="136" t="s">
        <v>384</v>
      </c>
      <c r="AO26" s="136" t="s">
        <v>384</v>
      </c>
      <c r="AP26" s="136" t="s">
        <v>384</v>
      </c>
      <c r="AQ26" s="136" t="s">
        <v>384</v>
      </c>
      <c r="AR26" s="136" t="s">
        <v>384</v>
      </c>
      <c r="AS26" s="136" t="s">
        <v>384</v>
      </c>
      <c r="AT26" s="136" t="s">
        <v>384</v>
      </c>
      <c r="AU26" s="136" t="s">
        <v>384</v>
      </c>
      <c r="AV26" s="136" t="s">
        <v>384</v>
      </c>
      <c r="AW26" s="136" t="s">
        <v>384</v>
      </c>
      <c r="AX26" s="136" t="s">
        <v>384</v>
      </c>
      <c r="AY26" s="136" t="s">
        <v>384</v>
      </c>
      <c r="AZ26" s="85"/>
      <c r="BA26" s="136" t="s">
        <v>384</v>
      </c>
      <c r="BB26" s="136" t="s">
        <v>384</v>
      </c>
      <c r="BC26" s="136" t="s">
        <v>384</v>
      </c>
      <c r="BD26" s="136" t="s">
        <v>384</v>
      </c>
      <c r="BE26" s="127"/>
    </row>
    <row r="27" spans="1:57" ht="15.6">
      <c r="A27" s="97">
        <v>26</v>
      </c>
      <c r="B27" s="371"/>
      <c r="C27" s="386"/>
      <c r="D27" s="81"/>
      <c r="E27" s="90" t="s">
        <v>400</v>
      </c>
      <c r="F27" s="80"/>
      <c r="G27" s="80"/>
      <c r="H27" s="117"/>
      <c r="I27" s="155">
        <f t="shared" si="4"/>
        <v>0</v>
      </c>
      <c r="J27" s="156">
        <f t="shared" si="5"/>
        <v>44</v>
      </c>
      <c r="K27" s="136" t="s">
        <v>384</v>
      </c>
      <c r="L27" s="136" t="s">
        <v>384</v>
      </c>
      <c r="M27" s="136" t="s">
        <v>384</v>
      </c>
      <c r="N27" s="136" t="s">
        <v>384</v>
      </c>
      <c r="O27" s="136" t="s">
        <v>384</v>
      </c>
      <c r="P27" s="136" t="s">
        <v>384</v>
      </c>
      <c r="Q27" s="136" t="s">
        <v>384</v>
      </c>
      <c r="R27" s="136" t="s">
        <v>384</v>
      </c>
      <c r="S27" s="136" t="s">
        <v>384</v>
      </c>
      <c r="T27" s="136" t="s">
        <v>384</v>
      </c>
      <c r="U27" s="136" t="s">
        <v>384</v>
      </c>
      <c r="V27" s="136"/>
      <c r="W27" s="136" t="s">
        <v>384</v>
      </c>
      <c r="X27" s="136" t="s">
        <v>384</v>
      </c>
      <c r="Y27" s="136" t="s">
        <v>384</v>
      </c>
      <c r="Z27" s="136" t="s">
        <v>384</v>
      </c>
      <c r="AA27" s="136" t="s">
        <v>384</v>
      </c>
      <c r="AB27" s="136" t="s">
        <v>384</v>
      </c>
      <c r="AC27" s="136" t="s">
        <v>384</v>
      </c>
      <c r="AD27" s="136" t="s">
        <v>384</v>
      </c>
      <c r="AE27" s="136" t="s">
        <v>384</v>
      </c>
      <c r="AF27" s="136" t="s">
        <v>384</v>
      </c>
      <c r="AG27" s="136" t="s">
        <v>384</v>
      </c>
      <c r="AH27" s="136" t="s">
        <v>384</v>
      </c>
      <c r="AI27" s="136" t="s">
        <v>384</v>
      </c>
      <c r="AJ27" s="136" t="s">
        <v>384</v>
      </c>
      <c r="AK27" s="136" t="s">
        <v>384</v>
      </c>
      <c r="AL27" s="136" t="s">
        <v>384</v>
      </c>
      <c r="AM27" s="136" t="s">
        <v>384</v>
      </c>
      <c r="AN27" s="136" t="s">
        <v>384</v>
      </c>
      <c r="AO27" s="136" t="s">
        <v>384</v>
      </c>
      <c r="AP27" s="136" t="s">
        <v>384</v>
      </c>
      <c r="AQ27" s="136" t="s">
        <v>384</v>
      </c>
      <c r="AR27" s="136" t="s">
        <v>384</v>
      </c>
      <c r="AS27" s="136" t="s">
        <v>384</v>
      </c>
      <c r="AT27" s="136" t="s">
        <v>384</v>
      </c>
      <c r="AU27" s="136" t="s">
        <v>384</v>
      </c>
      <c r="AV27" s="136" t="s">
        <v>384</v>
      </c>
      <c r="AW27" s="136" t="s">
        <v>384</v>
      </c>
      <c r="AX27" s="136" t="s">
        <v>384</v>
      </c>
      <c r="AY27" s="136" t="s">
        <v>384</v>
      </c>
      <c r="AZ27" s="85"/>
      <c r="BA27" s="136" t="s">
        <v>384</v>
      </c>
      <c r="BB27" s="136" t="s">
        <v>384</v>
      </c>
      <c r="BC27" s="136" t="s">
        <v>384</v>
      </c>
      <c r="BD27" s="136" t="s">
        <v>384</v>
      </c>
      <c r="BE27" s="127"/>
    </row>
    <row r="28" spans="1:57" ht="15.6">
      <c r="A28" s="97">
        <v>27</v>
      </c>
      <c r="B28" s="371"/>
      <c r="C28" s="386" t="s">
        <v>401</v>
      </c>
      <c r="D28" s="368" t="s">
        <v>34</v>
      </c>
      <c r="E28" s="92" t="s">
        <v>35</v>
      </c>
      <c r="F28" s="88" t="s">
        <v>402</v>
      </c>
      <c r="G28" s="354" t="s">
        <v>403</v>
      </c>
      <c r="H28" s="116" t="s">
        <v>383</v>
      </c>
      <c r="I28" s="155">
        <f t="shared" si="4"/>
        <v>33</v>
      </c>
      <c r="J28" s="156">
        <f t="shared" si="5"/>
        <v>11</v>
      </c>
      <c r="K28" s="136" t="s">
        <v>390</v>
      </c>
      <c r="L28" s="136" t="s">
        <v>390</v>
      </c>
      <c r="M28" s="136" t="s">
        <v>390</v>
      </c>
      <c r="N28" s="136" t="s">
        <v>390</v>
      </c>
      <c r="O28" s="136" t="s">
        <v>390</v>
      </c>
      <c r="P28" s="136" t="s">
        <v>390</v>
      </c>
      <c r="Q28" s="136" t="s">
        <v>390</v>
      </c>
      <c r="R28" s="136" t="s">
        <v>390</v>
      </c>
      <c r="S28" s="136" t="s">
        <v>390</v>
      </c>
      <c r="T28" s="136" t="s">
        <v>390</v>
      </c>
      <c r="U28" s="136" t="s">
        <v>390</v>
      </c>
      <c r="V28" s="121"/>
      <c r="W28" s="136" t="s">
        <v>390</v>
      </c>
      <c r="X28" s="136" t="s">
        <v>390</v>
      </c>
      <c r="Y28" s="136" t="s">
        <v>390</v>
      </c>
      <c r="Z28" s="136" t="s">
        <v>390</v>
      </c>
      <c r="AA28" s="136" t="s">
        <v>390</v>
      </c>
      <c r="AB28" s="136" t="s">
        <v>390</v>
      </c>
      <c r="AC28" s="136" t="s">
        <v>390</v>
      </c>
      <c r="AD28" s="136" t="s">
        <v>390</v>
      </c>
      <c r="AE28" s="136" t="s">
        <v>390</v>
      </c>
      <c r="AF28" s="136" t="s">
        <v>390</v>
      </c>
      <c r="AG28" s="136" t="s">
        <v>390</v>
      </c>
      <c r="AH28" s="136" t="s">
        <v>390</v>
      </c>
      <c r="AI28" s="136" t="s">
        <v>390</v>
      </c>
      <c r="AJ28" s="136" t="s">
        <v>390</v>
      </c>
      <c r="AK28" s="136" t="s">
        <v>390</v>
      </c>
      <c r="AL28" s="136" t="s">
        <v>390</v>
      </c>
      <c r="AM28" s="136" t="s">
        <v>390</v>
      </c>
      <c r="AN28" s="136" t="s">
        <v>390</v>
      </c>
      <c r="AO28" s="136" t="s">
        <v>390</v>
      </c>
      <c r="AP28" s="136" t="s">
        <v>390</v>
      </c>
      <c r="AQ28" s="136" t="s">
        <v>390</v>
      </c>
      <c r="AR28" s="136" t="s">
        <v>390</v>
      </c>
      <c r="AS28" s="136" t="s">
        <v>384</v>
      </c>
      <c r="AT28" s="136" t="s">
        <v>384</v>
      </c>
      <c r="AU28" s="136" t="s">
        <v>384</v>
      </c>
      <c r="AV28" s="136" t="s">
        <v>384</v>
      </c>
      <c r="AW28" s="136" t="s">
        <v>384</v>
      </c>
      <c r="AX28" s="136" t="s">
        <v>384</v>
      </c>
      <c r="AY28" s="136" t="s">
        <v>384</v>
      </c>
      <c r="AZ28" s="85"/>
      <c r="BA28" s="136" t="s">
        <v>384</v>
      </c>
      <c r="BB28" s="136" t="s">
        <v>384</v>
      </c>
      <c r="BC28" s="136" t="s">
        <v>384</v>
      </c>
      <c r="BD28" s="136" t="s">
        <v>384</v>
      </c>
      <c r="BE28" s="127"/>
    </row>
    <row r="29" spans="1:57" ht="15.6">
      <c r="A29" s="97">
        <v>28</v>
      </c>
      <c r="B29" s="371"/>
      <c r="C29" s="386"/>
      <c r="D29" s="368"/>
      <c r="E29" s="92" t="s">
        <v>35</v>
      </c>
      <c r="F29" s="86" t="s">
        <v>404</v>
      </c>
      <c r="G29" s="354"/>
      <c r="H29" s="116" t="s">
        <v>385</v>
      </c>
      <c r="I29" s="155">
        <f t="shared" si="4"/>
        <v>33</v>
      </c>
      <c r="J29" s="156">
        <f t="shared" si="5"/>
        <v>11</v>
      </c>
      <c r="K29" s="136" t="s">
        <v>390</v>
      </c>
      <c r="L29" s="136" t="s">
        <v>390</v>
      </c>
      <c r="M29" s="136" t="s">
        <v>390</v>
      </c>
      <c r="N29" s="136" t="s">
        <v>390</v>
      </c>
      <c r="O29" s="136" t="s">
        <v>390</v>
      </c>
      <c r="P29" s="136" t="s">
        <v>390</v>
      </c>
      <c r="Q29" s="136" t="s">
        <v>390</v>
      </c>
      <c r="R29" s="136" t="s">
        <v>390</v>
      </c>
      <c r="S29" s="136" t="s">
        <v>390</v>
      </c>
      <c r="T29" s="136" t="s">
        <v>390</v>
      </c>
      <c r="U29" s="136" t="s">
        <v>390</v>
      </c>
      <c r="V29" s="121"/>
      <c r="W29" s="136" t="s">
        <v>390</v>
      </c>
      <c r="X29" s="136" t="s">
        <v>390</v>
      </c>
      <c r="Y29" s="136" t="s">
        <v>390</v>
      </c>
      <c r="Z29" s="136" t="s">
        <v>390</v>
      </c>
      <c r="AA29" s="136" t="s">
        <v>390</v>
      </c>
      <c r="AB29" s="136" t="s">
        <v>390</v>
      </c>
      <c r="AC29" s="136" t="s">
        <v>390</v>
      </c>
      <c r="AD29" s="136" t="s">
        <v>390</v>
      </c>
      <c r="AE29" s="136" t="s">
        <v>390</v>
      </c>
      <c r="AF29" s="136" t="s">
        <v>390</v>
      </c>
      <c r="AG29" s="136" t="s">
        <v>390</v>
      </c>
      <c r="AH29" s="136" t="s">
        <v>390</v>
      </c>
      <c r="AI29" s="136" t="s">
        <v>390</v>
      </c>
      <c r="AJ29" s="136" t="s">
        <v>390</v>
      </c>
      <c r="AK29" s="136" t="s">
        <v>390</v>
      </c>
      <c r="AL29" s="136" t="s">
        <v>390</v>
      </c>
      <c r="AM29" s="136" t="s">
        <v>390</v>
      </c>
      <c r="AN29" s="136" t="s">
        <v>390</v>
      </c>
      <c r="AO29" s="136" t="s">
        <v>390</v>
      </c>
      <c r="AP29" s="136" t="s">
        <v>390</v>
      </c>
      <c r="AQ29" s="136" t="s">
        <v>390</v>
      </c>
      <c r="AR29" s="136" t="s">
        <v>390</v>
      </c>
      <c r="AS29" s="136" t="s">
        <v>384</v>
      </c>
      <c r="AT29" s="136" t="s">
        <v>384</v>
      </c>
      <c r="AU29" s="136" t="s">
        <v>384</v>
      </c>
      <c r="AV29" s="136" t="s">
        <v>384</v>
      </c>
      <c r="AW29" s="136" t="s">
        <v>384</v>
      </c>
      <c r="AX29" s="136" t="s">
        <v>384</v>
      </c>
      <c r="AY29" s="136" t="s">
        <v>384</v>
      </c>
      <c r="AZ29" s="85"/>
      <c r="BA29" s="136" t="s">
        <v>384</v>
      </c>
      <c r="BB29" s="136" t="s">
        <v>384</v>
      </c>
      <c r="BC29" s="136" t="s">
        <v>384</v>
      </c>
      <c r="BD29" s="136" t="s">
        <v>384</v>
      </c>
      <c r="BE29" s="127"/>
    </row>
    <row r="30" spans="1:57" ht="15.6">
      <c r="A30" s="97">
        <v>29</v>
      </c>
      <c r="B30" s="371"/>
      <c r="C30" s="386"/>
      <c r="D30" s="368"/>
      <c r="E30" s="90" t="s">
        <v>36</v>
      </c>
      <c r="F30" s="80"/>
      <c r="G30" s="80"/>
      <c r="H30" s="116" t="s">
        <v>386</v>
      </c>
      <c r="I30" s="155">
        <f t="shared" si="4"/>
        <v>0</v>
      </c>
      <c r="J30" s="156">
        <f t="shared" si="5"/>
        <v>44</v>
      </c>
      <c r="K30" s="136" t="s">
        <v>384</v>
      </c>
      <c r="L30" s="136" t="s">
        <v>384</v>
      </c>
      <c r="M30" s="136" t="s">
        <v>384</v>
      </c>
      <c r="N30" s="136" t="s">
        <v>384</v>
      </c>
      <c r="O30" s="136" t="s">
        <v>384</v>
      </c>
      <c r="P30" s="136" t="s">
        <v>384</v>
      </c>
      <c r="Q30" s="136" t="s">
        <v>384</v>
      </c>
      <c r="R30" s="136" t="s">
        <v>384</v>
      </c>
      <c r="S30" s="136" t="s">
        <v>384</v>
      </c>
      <c r="T30" s="136" t="s">
        <v>384</v>
      </c>
      <c r="U30" s="136" t="s">
        <v>384</v>
      </c>
      <c r="V30" s="136"/>
      <c r="W30" s="136" t="s">
        <v>384</v>
      </c>
      <c r="X30" s="136" t="s">
        <v>384</v>
      </c>
      <c r="Y30" s="136" t="s">
        <v>384</v>
      </c>
      <c r="Z30" s="136" t="s">
        <v>384</v>
      </c>
      <c r="AA30" s="136" t="s">
        <v>384</v>
      </c>
      <c r="AB30" s="136" t="s">
        <v>384</v>
      </c>
      <c r="AC30" s="136" t="s">
        <v>384</v>
      </c>
      <c r="AD30" s="136" t="s">
        <v>384</v>
      </c>
      <c r="AE30" s="136" t="s">
        <v>384</v>
      </c>
      <c r="AF30" s="136" t="s">
        <v>384</v>
      </c>
      <c r="AG30" s="136" t="s">
        <v>384</v>
      </c>
      <c r="AH30" s="136" t="s">
        <v>384</v>
      </c>
      <c r="AI30" s="136" t="s">
        <v>384</v>
      </c>
      <c r="AJ30" s="136" t="s">
        <v>384</v>
      </c>
      <c r="AK30" s="136" t="s">
        <v>384</v>
      </c>
      <c r="AL30" s="136" t="s">
        <v>384</v>
      </c>
      <c r="AM30" s="136" t="s">
        <v>384</v>
      </c>
      <c r="AN30" s="136" t="s">
        <v>384</v>
      </c>
      <c r="AO30" s="136" t="s">
        <v>384</v>
      </c>
      <c r="AP30" s="136" t="s">
        <v>384</v>
      </c>
      <c r="AQ30" s="136" t="s">
        <v>384</v>
      </c>
      <c r="AR30" s="136" t="s">
        <v>384</v>
      </c>
      <c r="AS30" s="136" t="s">
        <v>384</v>
      </c>
      <c r="AT30" s="136" t="s">
        <v>384</v>
      </c>
      <c r="AU30" s="136" t="s">
        <v>384</v>
      </c>
      <c r="AV30" s="136" t="s">
        <v>384</v>
      </c>
      <c r="AW30" s="136" t="s">
        <v>384</v>
      </c>
      <c r="AX30" s="136" t="s">
        <v>384</v>
      </c>
      <c r="AY30" s="136" t="s">
        <v>384</v>
      </c>
      <c r="AZ30" s="85"/>
      <c r="BA30" s="136" t="s">
        <v>384</v>
      </c>
      <c r="BB30" s="136" t="s">
        <v>384</v>
      </c>
      <c r="BC30" s="136" t="s">
        <v>384</v>
      </c>
      <c r="BD30" s="136" t="s">
        <v>384</v>
      </c>
      <c r="BE30" s="127"/>
    </row>
    <row r="31" spans="1:57" ht="14.45">
      <c r="A31" s="137">
        <v>30</v>
      </c>
      <c r="B31" s="372"/>
      <c r="C31" s="387"/>
      <c r="D31" s="145"/>
      <c r="E31" s="139" t="s">
        <v>36</v>
      </c>
      <c r="F31" s="141"/>
      <c r="G31" s="141"/>
      <c r="H31" s="142" t="s">
        <v>387</v>
      </c>
      <c r="I31" s="155">
        <f t="shared" si="4"/>
        <v>0</v>
      </c>
      <c r="J31" s="156">
        <f t="shared" si="5"/>
        <v>44</v>
      </c>
      <c r="K31" s="143" t="s">
        <v>384</v>
      </c>
      <c r="L31" s="143" t="s">
        <v>384</v>
      </c>
      <c r="M31" s="143" t="s">
        <v>384</v>
      </c>
      <c r="N31" s="143" t="s">
        <v>384</v>
      </c>
      <c r="O31" s="143" t="s">
        <v>384</v>
      </c>
      <c r="P31" s="143" t="s">
        <v>384</v>
      </c>
      <c r="Q31" s="143" t="s">
        <v>384</v>
      </c>
      <c r="R31" s="143" t="s">
        <v>384</v>
      </c>
      <c r="S31" s="143" t="s">
        <v>384</v>
      </c>
      <c r="T31" s="143" t="s">
        <v>384</v>
      </c>
      <c r="U31" s="143" t="s">
        <v>384</v>
      </c>
      <c r="V31" s="143"/>
      <c r="W31" s="143" t="s">
        <v>384</v>
      </c>
      <c r="X31" s="143" t="s">
        <v>384</v>
      </c>
      <c r="Y31" s="143" t="s">
        <v>384</v>
      </c>
      <c r="Z31" s="143" t="s">
        <v>384</v>
      </c>
      <c r="AA31" s="143" t="s">
        <v>384</v>
      </c>
      <c r="AB31" s="143" t="s">
        <v>384</v>
      </c>
      <c r="AC31" s="143" t="s">
        <v>384</v>
      </c>
      <c r="AD31" s="143" t="s">
        <v>384</v>
      </c>
      <c r="AE31" s="143" t="s">
        <v>384</v>
      </c>
      <c r="AF31" s="143" t="s">
        <v>384</v>
      </c>
      <c r="AG31" s="143" t="s">
        <v>384</v>
      </c>
      <c r="AH31" s="143" t="s">
        <v>384</v>
      </c>
      <c r="AI31" s="143" t="s">
        <v>384</v>
      </c>
      <c r="AJ31" s="143" t="s">
        <v>384</v>
      </c>
      <c r="AK31" s="143" t="s">
        <v>384</v>
      </c>
      <c r="AL31" s="143" t="s">
        <v>384</v>
      </c>
      <c r="AM31" s="143" t="s">
        <v>384</v>
      </c>
      <c r="AN31" s="143" t="s">
        <v>384</v>
      </c>
      <c r="AO31" s="143" t="s">
        <v>384</v>
      </c>
      <c r="AP31" s="143" t="s">
        <v>384</v>
      </c>
      <c r="AQ31" s="143" t="s">
        <v>384</v>
      </c>
      <c r="AR31" s="143" t="s">
        <v>384</v>
      </c>
      <c r="AS31" s="143" t="s">
        <v>384</v>
      </c>
      <c r="AT31" s="143" t="s">
        <v>384</v>
      </c>
      <c r="AU31" s="143" t="s">
        <v>384</v>
      </c>
      <c r="AV31" s="143" t="s">
        <v>384</v>
      </c>
      <c r="AW31" s="143" t="s">
        <v>384</v>
      </c>
      <c r="AX31" s="143" t="s">
        <v>384</v>
      </c>
      <c r="AY31" s="143" t="s">
        <v>384</v>
      </c>
      <c r="AZ31" s="138"/>
      <c r="BA31" s="143" t="s">
        <v>384</v>
      </c>
      <c r="BB31" s="143" t="s">
        <v>384</v>
      </c>
      <c r="BC31" s="143" t="s">
        <v>384</v>
      </c>
      <c r="BD31" s="143" t="s">
        <v>384</v>
      </c>
      <c r="BE31" s="144"/>
    </row>
    <row r="32" spans="1:57" ht="15.6">
      <c r="A32" s="102">
        <v>31</v>
      </c>
      <c r="B32" s="375" t="s">
        <v>405</v>
      </c>
      <c r="C32" s="373" t="s">
        <v>406</v>
      </c>
      <c r="D32" s="369" t="s">
        <v>39</v>
      </c>
      <c r="E32" s="107" t="s">
        <v>40</v>
      </c>
      <c r="F32" s="108" t="s">
        <v>407</v>
      </c>
      <c r="G32" s="109" t="s">
        <v>408</v>
      </c>
      <c r="H32" s="115" t="s">
        <v>383</v>
      </c>
      <c r="I32" s="153">
        <f t="shared" si="4"/>
        <v>6</v>
      </c>
      <c r="J32" s="154">
        <f t="shared" si="5"/>
        <v>38</v>
      </c>
      <c r="K32" s="135" t="s">
        <v>384</v>
      </c>
      <c r="L32" s="135" t="s">
        <v>384</v>
      </c>
      <c r="M32" s="135" t="s">
        <v>384</v>
      </c>
      <c r="N32" s="135" t="s">
        <v>384</v>
      </c>
      <c r="O32" s="135" t="s">
        <v>390</v>
      </c>
      <c r="P32" s="135" t="s">
        <v>384</v>
      </c>
      <c r="Q32" s="135" t="s">
        <v>384</v>
      </c>
      <c r="R32" s="135" t="s">
        <v>384</v>
      </c>
      <c r="S32" s="135" t="s">
        <v>390</v>
      </c>
      <c r="T32" s="135" t="s">
        <v>384</v>
      </c>
      <c r="U32" s="135" t="s">
        <v>384</v>
      </c>
      <c r="V32" s="120"/>
      <c r="W32" s="135" t="s">
        <v>384</v>
      </c>
      <c r="X32" s="135" t="s">
        <v>384</v>
      </c>
      <c r="Y32" s="135" t="s">
        <v>384</v>
      </c>
      <c r="Z32" s="135" t="s">
        <v>384</v>
      </c>
      <c r="AA32" s="135" t="s">
        <v>384</v>
      </c>
      <c r="AB32" s="135" t="s">
        <v>384</v>
      </c>
      <c r="AC32" s="135" t="s">
        <v>384</v>
      </c>
      <c r="AD32" s="135" t="s">
        <v>384</v>
      </c>
      <c r="AE32" s="135" t="s">
        <v>384</v>
      </c>
      <c r="AF32" s="135" t="s">
        <v>384</v>
      </c>
      <c r="AG32" s="135" t="s">
        <v>384</v>
      </c>
      <c r="AH32" s="135" t="s">
        <v>390</v>
      </c>
      <c r="AI32" s="135" t="s">
        <v>384</v>
      </c>
      <c r="AJ32" s="135" t="s">
        <v>384</v>
      </c>
      <c r="AK32" s="135" t="s">
        <v>384</v>
      </c>
      <c r="AL32" s="135" t="s">
        <v>390</v>
      </c>
      <c r="AM32" s="135" t="s">
        <v>390</v>
      </c>
      <c r="AN32" s="135" t="s">
        <v>390</v>
      </c>
      <c r="AO32" s="135" t="s">
        <v>384</v>
      </c>
      <c r="AP32" s="135" t="s">
        <v>384</v>
      </c>
      <c r="AQ32" s="135" t="s">
        <v>384</v>
      </c>
      <c r="AR32" s="135" t="s">
        <v>384</v>
      </c>
      <c r="AS32" s="135" t="s">
        <v>384</v>
      </c>
      <c r="AT32" s="135" t="s">
        <v>384</v>
      </c>
      <c r="AU32" s="135" t="s">
        <v>384</v>
      </c>
      <c r="AV32" s="135" t="s">
        <v>384</v>
      </c>
      <c r="AW32" s="135" t="s">
        <v>384</v>
      </c>
      <c r="AX32" s="135" t="s">
        <v>384</v>
      </c>
      <c r="AY32" s="135" t="s">
        <v>384</v>
      </c>
      <c r="AZ32" s="125"/>
      <c r="BA32" s="135" t="s">
        <v>384</v>
      </c>
      <c r="BB32" s="135" t="s">
        <v>384</v>
      </c>
      <c r="BC32" s="135" t="s">
        <v>384</v>
      </c>
      <c r="BD32" s="135" t="s">
        <v>384</v>
      </c>
      <c r="BE32" s="126"/>
    </row>
    <row r="33" spans="1:57" ht="15.6">
      <c r="A33" s="97">
        <v>32</v>
      </c>
      <c r="B33" s="376"/>
      <c r="C33" s="374"/>
      <c r="D33" s="368"/>
      <c r="E33" s="91" t="s">
        <v>40</v>
      </c>
      <c r="F33" s="88"/>
      <c r="G33" s="82"/>
      <c r="H33" s="116" t="s">
        <v>385</v>
      </c>
      <c r="I33" s="155">
        <f t="shared" si="4"/>
        <v>6</v>
      </c>
      <c r="J33" s="156">
        <f t="shared" si="5"/>
        <v>38</v>
      </c>
      <c r="K33" s="136" t="s">
        <v>384</v>
      </c>
      <c r="L33" s="136" t="s">
        <v>384</v>
      </c>
      <c r="M33" s="136" t="s">
        <v>384</v>
      </c>
      <c r="N33" s="136" t="s">
        <v>384</v>
      </c>
      <c r="O33" s="136" t="s">
        <v>390</v>
      </c>
      <c r="P33" s="136" t="s">
        <v>384</v>
      </c>
      <c r="Q33" s="136" t="s">
        <v>384</v>
      </c>
      <c r="R33" s="136" t="s">
        <v>384</v>
      </c>
      <c r="S33" s="136" t="s">
        <v>390</v>
      </c>
      <c r="T33" s="136" t="s">
        <v>384</v>
      </c>
      <c r="U33" s="136" t="s">
        <v>384</v>
      </c>
      <c r="V33" s="121"/>
      <c r="W33" s="136" t="s">
        <v>384</v>
      </c>
      <c r="X33" s="136" t="s">
        <v>384</v>
      </c>
      <c r="Y33" s="136" t="s">
        <v>384</v>
      </c>
      <c r="Z33" s="136" t="s">
        <v>384</v>
      </c>
      <c r="AA33" s="136" t="s">
        <v>384</v>
      </c>
      <c r="AB33" s="136" t="s">
        <v>384</v>
      </c>
      <c r="AC33" s="136" t="s">
        <v>384</v>
      </c>
      <c r="AD33" s="136" t="s">
        <v>384</v>
      </c>
      <c r="AE33" s="136" t="s">
        <v>384</v>
      </c>
      <c r="AF33" s="136" t="s">
        <v>384</v>
      </c>
      <c r="AG33" s="136" t="s">
        <v>384</v>
      </c>
      <c r="AH33" s="136" t="s">
        <v>390</v>
      </c>
      <c r="AI33" s="136" t="s">
        <v>384</v>
      </c>
      <c r="AJ33" s="136" t="s">
        <v>384</v>
      </c>
      <c r="AK33" s="136" t="s">
        <v>384</v>
      </c>
      <c r="AL33" s="136" t="s">
        <v>390</v>
      </c>
      <c r="AM33" s="136" t="s">
        <v>390</v>
      </c>
      <c r="AN33" s="136" t="s">
        <v>390</v>
      </c>
      <c r="AO33" s="136" t="s">
        <v>384</v>
      </c>
      <c r="AP33" s="136" t="s">
        <v>384</v>
      </c>
      <c r="AQ33" s="136" t="s">
        <v>384</v>
      </c>
      <c r="AR33" s="136" t="s">
        <v>384</v>
      </c>
      <c r="AS33" s="136" t="s">
        <v>384</v>
      </c>
      <c r="AT33" s="136" t="s">
        <v>384</v>
      </c>
      <c r="AU33" s="136" t="s">
        <v>384</v>
      </c>
      <c r="AV33" s="136" t="s">
        <v>384</v>
      </c>
      <c r="AW33" s="136" t="s">
        <v>384</v>
      </c>
      <c r="AX33" s="136" t="s">
        <v>384</v>
      </c>
      <c r="AY33" s="136" t="s">
        <v>384</v>
      </c>
      <c r="AZ33" s="85"/>
      <c r="BA33" s="136" t="s">
        <v>384</v>
      </c>
      <c r="BB33" s="136" t="s">
        <v>384</v>
      </c>
      <c r="BC33" s="136" t="s">
        <v>384</v>
      </c>
      <c r="BD33" s="136" t="s">
        <v>384</v>
      </c>
      <c r="BE33" s="127"/>
    </row>
    <row r="34" spans="1:57" ht="15.6">
      <c r="A34" s="97">
        <v>33</v>
      </c>
      <c r="B34" s="376"/>
      <c r="C34" s="374"/>
      <c r="D34" s="368"/>
      <c r="E34" s="91" t="s">
        <v>41</v>
      </c>
      <c r="F34" s="88" t="s">
        <v>409</v>
      </c>
      <c r="G34" s="82" t="s">
        <v>408</v>
      </c>
      <c r="H34" s="116" t="s">
        <v>383</v>
      </c>
      <c r="I34" s="155">
        <f t="shared" si="4"/>
        <v>3</v>
      </c>
      <c r="J34" s="156">
        <f t="shared" si="5"/>
        <v>41</v>
      </c>
      <c r="K34" s="136" t="s">
        <v>384</v>
      </c>
      <c r="L34" s="136" t="s">
        <v>384</v>
      </c>
      <c r="M34" s="136" t="s">
        <v>384</v>
      </c>
      <c r="N34" s="136" t="s">
        <v>384</v>
      </c>
      <c r="O34" s="136" t="s">
        <v>384</v>
      </c>
      <c r="P34" s="136" t="s">
        <v>384</v>
      </c>
      <c r="Q34" s="136" t="s">
        <v>384</v>
      </c>
      <c r="R34" s="136" t="s">
        <v>384</v>
      </c>
      <c r="S34" s="136" t="s">
        <v>384</v>
      </c>
      <c r="T34" s="136" t="s">
        <v>384</v>
      </c>
      <c r="U34" s="136" t="s">
        <v>384</v>
      </c>
      <c r="V34" s="121"/>
      <c r="W34" s="136" t="s">
        <v>384</v>
      </c>
      <c r="X34" s="136" t="s">
        <v>384</v>
      </c>
      <c r="Y34" s="136" t="s">
        <v>384</v>
      </c>
      <c r="Z34" s="136" t="s">
        <v>384</v>
      </c>
      <c r="AA34" s="136" t="s">
        <v>384</v>
      </c>
      <c r="AB34" s="136" t="s">
        <v>384</v>
      </c>
      <c r="AC34" s="136" t="s">
        <v>384</v>
      </c>
      <c r="AD34" s="136" t="s">
        <v>384</v>
      </c>
      <c r="AE34" s="136" t="s">
        <v>384</v>
      </c>
      <c r="AF34" s="136" t="s">
        <v>384</v>
      </c>
      <c r="AG34" s="136" t="s">
        <v>384</v>
      </c>
      <c r="AH34" s="136" t="s">
        <v>384</v>
      </c>
      <c r="AI34" s="136" t="s">
        <v>384</v>
      </c>
      <c r="AJ34" s="136" t="s">
        <v>384</v>
      </c>
      <c r="AK34" s="136" t="s">
        <v>384</v>
      </c>
      <c r="AL34" s="136" t="s">
        <v>390</v>
      </c>
      <c r="AM34" s="136" t="s">
        <v>390</v>
      </c>
      <c r="AN34" s="136" t="s">
        <v>390</v>
      </c>
      <c r="AO34" s="136" t="s">
        <v>384</v>
      </c>
      <c r="AP34" s="136" t="s">
        <v>384</v>
      </c>
      <c r="AQ34" s="136" t="s">
        <v>384</v>
      </c>
      <c r="AR34" s="136" t="s">
        <v>384</v>
      </c>
      <c r="AS34" s="136" t="s">
        <v>384</v>
      </c>
      <c r="AT34" s="136" t="s">
        <v>384</v>
      </c>
      <c r="AU34" s="136" t="s">
        <v>384</v>
      </c>
      <c r="AV34" s="136" t="s">
        <v>384</v>
      </c>
      <c r="AW34" s="136" t="s">
        <v>384</v>
      </c>
      <c r="AX34" s="136" t="s">
        <v>384</v>
      </c>
      <c r="AY34" s="136" t="s">
        <v>384</v>
      </c>
      <c r="AZ34" s="85"/>
      <c r="BA34" s="136" t="s">
        <v>384</v>
      </c>
      <c r="BB34" s="136" t="s">
        <v>384</v>
      </c>
      <c r="BC34" s="136" t="s">
        <v>384</v>
      </c>
      <c r="BD34" s="136" t="s">
        <v>384</v>
      </c>
      <c r="BE34" s="127"/>
    </row>
    <row r="35" spans="1:57" ht="15.6">
      <c r="A35" s="97">
        <v>34</v>
      </c>
      <c r="B35" s="376"/>
      <c r="C35" s="374"/>
      <c r="D35" s="368"/>
      <c r="E35" s="91" t="s">
        <v>41</v>
      </c>
      <c r="F35" s="88"/>
      <c r="G35" s="82"/>
      <c r="H35" s="116" t="s">
        <v>385</v>
      </c>
      <c r="I35" s="155">
        <f t="shared" si="4"/>
        <v>3</v>
      </c>
      <c r="J35" s="156">
        <f t="shared" si="5"/>
        <v>41</v>
      </c>
      <c r="K35" s="136" t="s">
        <v>384</v>
      </c>
      <c r="L35" s="136" t="s">
        <v>384</v>
      </c>
      <c r="M35" s="136" t="s">
        <v>384</v>
      </c>
      <c r="N35" s="136" t="s">
        <v>384</v>
      </c>
      <c r="O35" s="136" t="s">
        <v>384</v>
      </c>
      <c r="P35" s="136" t="s">
        <v>384</v>
      </c>
      <c r="Q35" s="136" t="s">
        <v>384</v>
      </c>
      <c r="R35" s="136" t="s">
        <v>384</v>
      </c>
      <c r="S35" s="136" t="s">
        <v>384</v>
      </c>
      <c r="T35" s="136" t="s">
        <v>384</v>
      </c>
      <c r="U35" s="136" t="s">
        <v>384</v>
      </c>
      <c r="V35" s="121"/>
      <c r="W35" s="136" t="s">
        <v>384</v>
      </c>
      <c r="X35" s="136" t="s">
        <v>384</v>
      </c>
      <c r="Y35" s="136" t="s">
        <v>384</v>
      </c>
      <c r="Z35" s="136" t="s">
        <v>384</v>
      </c>
      <c r="AA35" s="136" t="s">
        <v>384</v>
      </c>
      <c r="AB35" s="136" t="s">
        <v>384</v>
      </c>
      <c r="AC35" s="136" t="s">
        <v>384</v>
      </c>
      <c r="AD35" s="136" t="s">
        <v>384</v>
      </c>
      <c r="AE35" s="136" t="s">
        <v>384</v>
      </c>
      <c r="AF35" s="136" t="s">
        <v>384</v>
      </c>
      <c r="AG35" s="136" t="s">
        <v>384</v>
      </c>
      <c r="AH35" s="136" t="s">
        <v>384</v>
      </c>
      <c r="AI35" s="136" t="s">
        <v>384</v>
      </c>
      <c r="AJ35" s="136" t="s">
        <v>384</v>
      </c>
      <c r="AK35" s="136" t="s">
        <v>384</v>
      </c>
      <c r="AL35" s="136" t="s">
        <v>390</v>
      </c>
      <c r="AM35" s="136" t="s">
        <v>390</v>
      </c>
      <c r="AN35" s="136" t="s">
        <v>390</v>
      </c>
      <c r="AO35" s="136" t="s">
        <v>384</v>
      </c>
      <c r="AP35" s="136" t="s">
        <v>384</v>
      </c>
      <c r="AQ35" s="136" t="s">
        <v>384</v>
      </c>
      <c r="AR35" s="136" t="s">
        <v>384</v>
      </c>
      <c r="AS35" s="136" t="s">
        <v>384</v>
      </c>
      <c r="AT35" s="136" t="s">
        <v>384</v>
      </c>
      <c r="AU35" s="136" t="s">
        <v>384</v>
      </c>
      <c r="AV35" s="136" t="s">
        <v>384</v>
      </c>
      <c r="AW35" s="136" t="s">
        <v>384</v>
      </c>
      <c r="AX35" s="136" t="s">
        <v>384</v>
      </c>
      <c r="AY35" s="136" t="s">
        <v>384</v>
      </c>
      <c r="AZ35" s="85"/>
      <c r="BA35" s="136" t="s">
        <v>384</v>
      </c>
      <c r="BB35" s="136" t="s">
        <v>384</v>
      </c>
      <c r="BC35" s="136" t="s">
        <v>384</v>
      </c>
      <c r="BD35" s="136" t="s">
        <v>384</v>
      </c>
      <c r="BE35" s="127"/>
    </row>
    <row r="36" spans="1:57" ht="15.6">
      <c r="A36" s="97">
        <v>35</v>
      </c>
      <c r="B36" s="376"/>
      <c r="C36" s="374"/>
      <c r="D36" s="368"/>
      <c r="E36" s="91" t="s">
        <v>42</v>
      </c>
      <c r="F36" s="89" t="s">
        <v>410</v>
      </c>
      <c r="G36" s="80"/>
      <c r="H36" s="116" t="s">
        <v>383</v>
      </c>
      <c r="I36" s="155">
        <f t="shared" si="4"/>
        <v>0</v>
      </c>
      <c r="J36" s="156">
        <f t="shared" si="5"/>
        <v>44</v>
      </c>
      <c r="K36" s="136" t="s">
        <v>384</v>
      </c>
      <c r="L36" s="136" t="s">
        <v>384</v>
      </c>
      <c r="M36" s="136" t="s">
        <v>384</v>
      </c>
      <c r="N36" s="136" t="s">
        <v>384</v>
      </c>
      <c r="O36" s="136" t="s">
        <v>384</v>
      </c>
      <c r="P36" s="136" t="s">
        <v>384</v>
      </c>
      <c r="Q36" s="136" t="s">
        <v>384</v>
      </c>
      <c r="R36" s="136" t="s">
        <v>384</v>
      </c>
      <c r="S36" s="136" t="s">
        <v>384</v>
      </c>
      <c r="T36" s="136" t="s">
        <v>384</v>
      </c>
      <c r="U36" s="136" t="s">
        <v>384</v>
      </c>
      <c r="V36" s="121"/>
      <c r="W36" s="136" t="s">
        <v>384</v>
      </c>
      <c r="X36" s="136" t="s">
        <v>384</v>
      </c>
      <c r="Y36" s="136" t="s">
        <v>384</v>
      </c>
      <c r="Z36" s="136" t="s">
        <v>384</v>
      </c>
      <c r="AA36" s="136" t="s">
        <v>384</v>
      </c>
      <c r="AB36" s="136" t="s">
        <v>384</v>
      </c>
      <c r="AC36" s="136" t="s">
        <v>384</v>
      </c>
      <c r="AD36" s="136" t="s">
        <v>384</v>
      </c>
      <c r="AE36" s="136" t="s">
        <v>384</v>
      </c>
      <c r="AF36" s="136" t="s">
        <v>384</v>
      </c>
      <c r="AG36" s="136" t="s">
        <v>384</v>
      </c>
      <c r="AH36" s="136" t="s">
        <v>384</v>
      </c>
      <c r="AI36" s="136" t="s">
        <v>384</v>
      </c>
      <c r="AJ36" s="136" t="s">
        <v>384</v>
      </c>
      <c r="AK36" s="136" t="s">
        <v>384</v>
      </c>
      <c r="AL36" s="136" t="s">
        <v>384</v>
      </c>
      <c r="AM36" s="136" t="s">
        <v>384</v>
      </c>
      <c r="AN36" s="136" t="s">
        <v>384</v>
      </c>
      <c r="AO36" s="136" t="s">
        <v>384</v>
      </c>
      <c r="AP36" s="136" t="s">
        <v>384</v>
      </c>
      <c r="AQ36" s="136" t="s">
        <v>384</v>
      </c>
      <c r="AR36" s="136" t="s">
        <v>384</v>
      </c>
      <c r="AS36" s="136" t="s">
        <v>384</v>
      </c>
      <c r="AT36" s="136" t="s">
        <v>384</v>
      </c>
      <c r="AU36" s="136" t="s">
        <v>384</v>
      </c>
      <c r="AV36" s="136" t="s">
        <v>384</v>
      </c>
      <c r="AW36" s="136" t="s">
        <v>384</v>
      </c>
      <c r="AX36" s="136" t="s">
        <v>384</v>
      </c>
      <c r="AY36" s="136" t="s">
        <v>384</v>
      </c>
      <c r="AZ36" s="85"/>
      <c r="BA36" s="136" t="s">
        <v>384</v>
      </c>
      <c r="BB36" s="136" t="s">
        <v>384</v>
      </c>
      <c r="BC36" s="136" t="s">
        <v>384</v>
      </c>
      <c r="BD36" s="136" t="s">
        <v>384</v>
      </c>
      <c r="BE36" s="127"/>
    </row>
    <row r="37" spans="1:57" ht="15.6">
      <c r="A37" s="97">
        <v>36</v>
      </c>
      <c r="B37" s="376"/>
      <c r="C37" s="374"/>
      <c r="D37" s="368"/>
      <c r="E37" s="91" t="s">
        <v>42</v>
      </c>
      <c r="F37" s="89"/>
      <c r="G37" s="80"/>
      <c r="H37" s="116" t="s">
        <v>385</v>
      </c>
      <c r="I37" s="155">
        <f t="shared" si="4"/>
        <v>0</v>
      </c>
      <c r="J37" s="156">
        <f t="shared" si="5"/>
        <v>44</v>
      </c>
      <c r="K37" s="136" t="s">
        <v>384</v>
      </c>
      <c r="L37" s="136" t="s">
        <v>384</v>
      </c>
      <c r="M37" s="136" t="s">
        <v>384</v>
      </c>
      <c r="N37" s="136" t="s">
        <v>384</v>
      </c>
      <c r="O37" s="136" t="s">
        <v>384</v>
      </c>
      <c r="P37" s="136" t="s">
        <v>384</v>
      </c>
      <c r="Q37" s="136" t="s">
        <v>384</v>
      </c>
      <c r="R37" s="136" t="s">
        <v>384</v>
      </c>
      <c r="S37" s="136" t="s">
        <v>384</v>
      </c>
      <c r="T37" s="136" t="s">
        <v>384</v>
      </c>
      <c r="U37" s="136" t="s">
        <v>384</v>
      </c>
      <c r="V37" s="121"/>
      <c r="W37" s="136" t="s">
        <v>384</v>
      </c>
      <c r="X37" s="136" t="s">
        <v>384</v>
      </c>
      <c r="Y37" s="136" t="s">
        <v>384</v>
      </c>
      <c r="Z37" s="136" t="s">
        <v>384</v>
      </c>
      <c r="AA37" s="136" t="s">
        <v>384</v>
      </c>
      <c r="AB37" s="136" t="s">
        <v>384</v>
      </c>
      <c r="AC37" s="136" t="s">
        <v>384</v>
      </c>
      <c r="AD37" s="136" t="s">
        <v>384</v>
      </c>
      <c r="AE37" s="136" t="s">
        <v>384</v>
      </c>
      <c r="AF37" s="136" t="s">
        <v>384</v>
      </c>
      <c r="AG37" s="136" t="s">
        <v>384</v>
      </c>
      <c r="AH37" s="136" t="s">
        <v>384</v>
      </c>
      <c r="AI37" s="136" t="s">
        <v>384</v>
      </c>
      <c r="AJ37" s="136" t="s">
        <v>384</v>
      </c>
      <c r="AK37" s="136" t="s">
        <v>384</v>
      </c>
      <c r="AL37" s="136" t="s">
        <v>384</v>
      </c>
      <c r="AM37" s="136" t="s">
        <v>384</v>
      </c>
      <c r="AN37" s="136" t="s">
        <v>384</v>
      </c>
      <c r="AO37" s="136" t="s">
        <v>384</v>
      </c>
      <c r="AP37" s="136" t="s">
        <v>384</v>
      </c>
      <c r="AQ37" s="136" t="s">
        <v>384</v>
      </c>
      <c r="AR37" s="136" t="s">
        <v>384</v>
      </c>
      <c r="AS37" s="136" t="s">
        <v>384</v>
      </c>
      <c r="AT37" s="136" t="s">
        <v>384</v>
      </c>
      <c r="AU37" s="136" t="s">
        <v>384</v>
      </c>
      <c r="AV37" s="136" t="s">
        <v>384</v>
      </c>
      <c r="AW37" s="136" t="s">
        <v>384</v>
      </c>
      <c r="AX37" s="136" t="s">
        <v>384</v>
      </c>
      <c r="AY37" s="136" t="s">
        <v>384</v>
      </c>
      <c r="AZ37" s="85"/>
      <c r="BA37" s="136" t="s">
        <v>384</v>
      </c>
      <c r="BB37" s="136" t="s">
        <v>384</v>
      </c>
      <c r="BC37" s="136" t="s">
        <v>384</v>
      </c>
      <c r="BD37" s="136" t="s">
        <v>384</v>
      </c>
      <c r="BE37" s="127"/>
    </row>
    <row r="38" spans="1:57" ht="15.6">
      <c r="A38" s="97">
        <v>37</v>
      </c>
      <c r="B38" s="376"/>
      <c r="C38" s="374"/>
      <c r="D38" s="368"/>
      <c r="E38" s="91" t="s">
        <v>43</v>
      </c>
      <c r="F38" s="89" t="s">
        <v>410</v>
      </c>
      <c r="G38" s="80"/>
      <c r="H38" s="116" t="s">
        <v>383</v>
      </c>
      <c r="I38" s="155">
        <f t="shared" si="4"/>
        <v>0</v>
      </c>
      <c r="J38" s="156">
        <f t="shared" si="5"/>
        <v>44</v>
      </c>
      <c r="K38" s="136" t="s">
        <v>384</v>
      </c>
      <c r="L38" s="136" t="s">
        <v>384</v>
      </c>
      <c r="M38" s="136" t="s">
        <v>384</v>
      </c>
      <c r="N38" s="136" t="s">
        <v>384</v>
      </c>
      <c r="O38" s="136" t="s">
        <v>384</v>
      </c>
      <c r="P38" s="136" t="s">
        <v>384</v>
      </c>
      <c r="Q38" s="136" t="s">
        <v>384</v>
      </c>
      <c r="R38" s="136" t="s">
        <v>384</v>
      </c>
      <c r="S38" s="136" t="s">
        <v>384</v>
      </c>
      <c r="T38" s="136" t="s">
        <v>384</v>
      </c>
      <c r="U38" s="136" t="s">
        <v>384</v>
      </c>
      <c r="V38" s="121"/>
      <c r="W38" s="136" t="s">
        <v>384</v>
      </c>
      <c r="X38" s="136" t="s">
        <v>384</v>
      </c>
      <c r="Y38" s="136" t="s">
        <v>384</v>
      </c>
      <c r="Z38" s="136" t="s">
        <v>384</v>
      </c>
      <c r="AA38" s="136" t="s">
        <v>384</v>
      </c>
      <c r="AB38" s="136" t="s">
        <v>384</v>
      </c>
      <c r="AC38" s="136" t="s">
        <v>384</v>
      </c>
      <c r="AD38" s="136" t="s">
        <v>384</v>
      </c>
      <c r="AE38" s="136" t="s">
        <v>384</v>
      </c>
      <c r="AF38" s="136" t="s">
        <v>384</v>
      </c>
      <c r="AG38" s="136" t="s">
        <v>384</v>
      </c>
      <c r="AH38" s="136" t="s">
        <v>384</v>
      </c>
      <c r="AI38" s="136" t="s">
        <v>384</v>
      </c>
      <c r="AJ38" s="136" t="s">
        <v>384</v>
      </c>
      <c r="AK38" s="136" t="s">
        <v>384</v>
      </c>
      <c r="AL38" s="136" t="s">
        <v>384</v>
      </c>
      <c r="AM38" s="136" t="s">
        <v>384</v>
      </c>
      <c r="AN38" s="136" t="s">
        <v>384</v>
      </c>
      <c r="AO38" s="136" t="s">
        <v>384</v>
      </c>
      <c r="AP38" s="136" t="s">
        <v>384</v>
      </c>
      <c r="AQ38" s="136" t="s">
        <v>384</v>
      </c>
      <c r="AR38" s="136" t="s">
        <v>384</v>
      </c>
      <c r="AS38" s="136" t="s">
        <v>384</v>
      </c>
      <c r="AT38" s="136" t="s">
        <v>384</v>
      </c>
      <c r="AU38" s="136" t="s">
        <v>384</v>
      </c>
      <c r="AV38" s="136" t="s">
        <v>384</v>
      </c>
      <c r="AW38" s="136" t="s">
        <v>384</v>
      </c>
      <c r="AX38" s="136" t="s">
        <v>384</v>
      </c>
      <c r="AY38" s="136" t="s">
        <v>384</v>
      </c>
      <c r="AZ38" s="85"/>
      <c r="BA38" s="136" t="s">
        <v>384</v>
      </c>
      <c r="BB38" s="136" t="s">
        <v>384</v>
      </c>
      <c r="BC38" s="136" t="s">
        <v>384</v>
      </c>
      <c r="BD38" s="136" t="s">
        <v>384</v>
      </c>
      <c r="BE38" s="127"/>
    </row>
    <row r="39" spans="1:57" ht="15.6">
      <c r="A39" s="97">
        <v>38</v>
      </c>
      <c r="B39" s="376"/>
      <c r="C39" s="374"/>
      <c r="D39" s="368"/>
      <c r="E39" s="91" t="s">
        <v>43</v>
      </c>
      <c r="F39" s="89"/>
      <c r="G39" s="80"/>
      <c r="H39" s="116" t="s">
        <v>385</v>
      </c>
      <c r="I39" s="155">
        <f t="shared" si="4"/>
        <v>0</v>
      </c>
      <c r="J39" s="156">
        <f t="shared" si="5"/>
        <v>44</v>
      </c>
      <c r="K39" s="136" t="s">
        <v>384</v>
      </c>
      <c r="L39" s="136" t="s">
        <v>384</v>
      </c>
      <c r="M39" s="136" t="s">
        <v>384</v>
      </c>
      <c r="N39" s="136" t="s">
        <v>384</v>
      </c>
      <c r="O39" s="136" t="s">
        <v>384</v>
      </c>
      <c r="P39" s="136" t="s">
        <v>384</v>
      </c>
      <c r="Q39" s="136" t="s">
        <v>384</v>
      </c>
      <c r="R39" s="136" t="s">
        <v>384</v>
      </c>
      <c r="S39" s="136" t="s">
        <v>384</v>
      </c>
      <c r="T39" s="136" t="s">
        <v>384</v>
      </c>
      <c r="U39" s="136" t="s">
        <v>384</v>
      </c>
      <c r="V39" s="121"/>
      <c r="W39" s="136" t="s">
        <v>384</v>
      </c>
      <c r="X39" s="136" t="s">
        <v>384</v>
      </c>
      <c r="Y39" s="136" t="s">
        <v>384</v>
      </c>
      <c r="Z39" s="136" t="s">
        <v>384</v>
      </c>
      <c r="AA39" s="136" t="s">
        <v>384</v>
      </c>
      <c r="AB39" s="136" t="s">
        <v>384</v>
      </c>
      <c r="AC39" s="136" t="s">
        <v>384</v>
      </c>
      <c r="AD39" s="136" t="s">
        <v>384</v>
      </c>
      <c r="AE39" s="136" t="s">
        <v>384</v>
      </c>
      <c r="AF39" s="136" t="s">
        <v>384</v>
      </c>
      <c r="AG39" s="136" t="s">
        <v>384</v>
      </c>
      <c r="AH39" s="136" t="s">
        <v>384</v>
      </c>
      <c r="AI39" s="136" t="s">
        <v>384</v>
      </c>
      <c r="AJ39" s="136" t="s">
        <v>384</v>
      </c>
      <c r="AK39" s="136" t="s">
        <v>384</v>
      </c>
      <c r="AL39" s="136" t="s">
        <v>384</v>
      </c>
      <c r="AM39" s="136" t="s">
        <v>384</v>
      </c>
      <c r="AN39" s="136" t="s">
        <v>384</v>
      </c>
      <c r="AO39" s="136" t="s">
        <v>384</v>
      </c>
      <c r="AP39" s="136" t="s">
        <v>384</v>
      </c>
      <c r="AQ39" s="136" t="s">
        <v>384</v>
      </c>
      <c r="AR39" s="136" t="s">
        <v>384</v>
      </c>
      <c r="AS39" s="136" t="s">
        <v>384</v>
      </c>
      <c r="AT39" s="136" t="s">
        <v>384</v>
      </c>
      <c r="AU39" s="136" t="s">
        <v>384</v>
      </c>
      <c r="AV39" s="136" t="s">
        <v>384</v>
      </c>
      <c r="AW39" s="136" t="s">
        <v>384</v>
      </c>
      <c r="AX39" s="136" t="s">
        <v>384</v>
      </c>
      <c r="AY39" s="136" t="s">
        <v>384</v>
      </c>
      <c r="AZ39" s="85"/>
      <c r="BA39" s="136" t="s">
        <v>384</v>
      </c>
      <c r="BB39" s="136" t="s">
        <v>384</v>
      </c>
      <c r="BC39" s="136" t="s">
        <v>384</v>
      </c>
      <c r="BD39" s="136" t="s">
        <v>384</v>
      </c>
      <c r="BE39" s="127"/>
    </row>
    <row r="40" spans="1:57" ht="15.6">
      <c r="A40" s="97">
        <v>39</v>
      </c>
      <c r="B40" s="376"/>
      <c r="C40" s="374"/>
      <c r="D40" s="368"/>
      <c r="E40" s="91" t="s">
        <v>44</v>
      </c>
      <c r="F40" s="89" t="s">
        <v>410</v>
      </c>
      <c r="G40" s="80"/>
      <c r="H40" s="116" t="s">
        <v>383</v>
      </c>
      <c r="I40" s="155">
        <f t="shared" si="4"/>
        <v>0</v>
      </c>
      <c r="J40" s="156">
        <f t="shared" si="5"/>
        <v>44</v>
      </c>
      <c r="K40" s="136" t="s">
        <v>384</v>
      </c>
      <c r="L40" s="136" t="s">
        <v>384</v>
      </c>
      <c r="M40" s="136" t="s">
        <v>384</v>
      </c>
      <c r="N40" s="136" t="s">
        <v>384</v>
      </c>
      <c r="O40" s="136" t="s">
        <v>384</v>
      </c>
      <c r="P40" s="136" t="s">
        <v>384</v>
      </c>
      <c r="Q40" s="136" t="s">
        <v>384</v>
      </c>
      <c r="R40" s="136" t="s">
        <v>384</v>
      </c>
      <c r="S40" s="136" t="s">
        <v>384</v>
      </c>
      <c r="T40" s="136" t="s">
        <v>384</v>
      </c>
      <c r="U40" s="136" t="s">
        <v>384</v>
      </c>
      <c r="V40" s="121"/>
      <c r="W40" s="136" t="s">
        <v>384</v>
      </c>
      <c r="X40" s="136" t="s">
        <v>384</v>
      </c>
      <c r="Y40" s="136" t="s">
        <v>384</v>
      </c>
      <c r="Z40" s="136" t="s">
        <v>384</v>
      </c>
      <c r="AA40" s="136" t="s">
        <v>384</v>
      </c>
      <c r="AB40" s="136" t="s">
        <v>384</v>
      </c>
      <c r="AC40" s="136" t="s">
        <v>384</v>
      </c>
      <c r="AD40" s="136" t="s">
        <v>384</v>
      </c>
      <c r="AE40" s="136" t="s">
        <v>384</v>
      </c>
      <c r="AF40" s="136" t="s">
        <v>384</v>
      </c>
      <c r="AG40" s="136" t="s">
        <v>384</v>
      </c>
      <c r="AH40" s="136" t="s">
        <v>384</v>
      </c>
      <c r="AI40" s="136" t="s">
        <v>384</v>
      </c>
      <c r="AJ40" s="136" t="s">
        <v>384</v>
      </c>
      <c r="AK40" s="136" t="s">
        <v>384</v>
      </c>
      <c r="AL40" s="136" t="s">
        <v>384</v>
      </c>
      <c r="AM40" s="136" t="s">
        <v>384</v>
      </c>
      <c r="AN40" s="136" t="s">
        <v>384</v>
      </c>
      <c r="AO40" s="136" t="s">
        <v>384</v>
      </c>
      <c r="AP40" s="136" t="s">
        <v>384</v>
      </c>
      <c r="AQ40" s="136" t="s">
        <v>384</v>
      </c>
      <c r="AR40" s="136" t="s">
        <v>384</v>
      </c>
      <c r="AS40" s="136" t="s">
        <v>384</v>
      </c>
      <c r="AT40" s="136" t="s">
        <v>384</v>
      </c>
      <c r="AU40" s="136" t="s">
        <v>384</v>
      </c>
      <c r="AV40" s="136" t="s">
        <v>384</v>
      </c>
      <c r="AW40" s="136" t="s">
        <v>384</v>
      </c>
      <c r="AX40" s="136" t="s">
        <v>384</v>
      </c>
      <c r="AY40" s="136" t="s">
        <v>384</v>
      </c>
      <c r="AZ40" s="85"/>
      <c r="BA40" s="136" t="s">
        <v>384</v>
      </c>
      <c r="BB40" s="136" t="s">
        <v>384</v>
      </c>
      <c r="BC40" s="136" t="s">
        <v>384</v>
      </c>
      <c r="BD40" s="136" t="s">
        <v>384</v>
      </c>
      <c r="BE40" s="127"/>
    </row>
    <row r="41" spans="1:57" ht="15.6">
      <c r="A41" s="97">
        <v>40</v>
      </c>
      <c r="B41" s="376"/>
      <c r="C41" s="374"/>
      <c r="D41" s="79"/>
      <c r="E41" s="91" t="s">
        <v>44</v>
      </c>
      <c r="F41" s="89"/>
      <c r="G41" s="80"/>
      <c r="H41" s="116" t="s">
        <v>385</v>
      </c>
      <c r="I41" s="155">
        <f t="shared" si="4"/>
        <v>0</v>
      </c>
      <c r="J41" s="156">
        <f t="shared" si="5"/>
        <v>44</v>
      </c>
      <c r="K41" s="136" t="s">
        <v>384</v>
      </c>
      <c r="L41" s="136" t="s">
        <v>384</v>
      </c>
      <c r="M41" s="136" t="s">
        <v>384</v>
      </c>
      <c r="N41" s="136" t="s">
        <v>384</v>
      </c>
      <c r="O41" s="136" t="s">
        <v>384</v>
      </c>
      <c r="P41" s="136" t="s">
        <v>384</v>
      </c>
      <c r="Q41" s="136" t="s">
        <v>384</v>
      </c>
      <c r="R41" s="136" t="s">
        <v>384</v>
      </c>
      <c r="S41" s="136" t="s">
        <v>384</v>
      </c>
      <c r="T41" s="136" t="s">
        <v>384</v>
      </c>
      <c r="U41" s="136" t="s">
        <v>384</v>
      </c>
      <c r="V41" s="121"/>
      <c r="W41" s="136" t="s">
        <v>384</v>
      </c>
      <c r="X41" s="136" t="s">
        <v>384</v>
      </c>
      <c r="Y41" s="136" t="s">
        <v>384</v>
      </c>
      <c r="Z41" s="136" t="s">
        <v>384</v>
      </c>
      <c r="AA41" s="136" t="s">
        <v>384</v>
      </c>
      <c r="AB41" s="136" t="s">
        <v>384</v>
      </c>
      <c r="AC41" s="136" t="s">
        <v>384</v>
      </c>
      <c r="AD41" s="136" t="s">
        <v>384</v>
      </c>
      <c r="AE41" s="136" t="s">
        <v>384</v>
      </c>
      <c r="AF41" s="136" t="s">
        <v>384</v>
      </c>
      <c r="AG41" s="136" t="s">
        <v>384</v>
      </c>
      <c r="AH41" s="136" t="s">
        <v>384</v>
      </c>
      <c r="AI41" s="136" t="s">
        <v>384</v>
      </c>
      <c r="AJ41" s="136" t="s">
        <v>384</v>
      </c>
      <c r="AK41" s="136" t="s">
        <v>384</v>
      </c>
      <c r="AL41" s="136" t="s">
        <v>384</v>
      </c>
      <c r="AM41" s="136" t="s">
        <v>384</v>
      </c>
      <c r="AN41" s="136" t="s">
        <v>384</v>
      </c>
      <c r="AO41" s="136" t="s">
        <v>384</v>
      </c>
      <c r="AP41" s="136" t="s">
        <v>384</v>
      </c>
      <c r="AQ41" s="136" t="s">
        <v>384</v>
      </c>
      <c r="AR41" s="136" t="s">
        <v>384</v>
      </c>
      <c r="AS41" s="136" t="s">
        <v>384</v>
      </c>
      <c r="AT41" s="136" t="s">
        <v>384</v>
      </c>
      <c r="AU41" s="136" t="s">
        <v>384</v>
      </c>
      <c r="AV41" s="136" t="s">
        <v>384</v>
      </c>
      <c r="AW41" s="136" t="s">
        <v>384</v>
      </c>
      <c r="AX41" s="136" t="s">
        <v>384</v>
      </c>
      <c r="AY41" s="136" t="s">
        <v>384</v>
      </c>
      <c r="AZ41" s="85"/>
      <c r="BA41" s="136" t="s">
        <v>384</v>
      </c>
      <c r="BB41" s="136" t="s">
        <v>384</v>
      </c>
      <c r="BC41" s="136" t="s">
        <v>384</v>
      </c>
      <c r="BD41" s="136" t="s">
        <v>384</v>
      </c>
      <c r="BE41" s="127"/>
    </row>
    <row r="42" spans="1:57" ht="15.6">
      <c r="A42" s="97">
        <v>41</v>
      </c>
      <c r="B42" s="376"/>
      <c r="C42" s="374" t="s">
        <v>411</v>
      </c>
      <c r="D42" s="79" t="s">
        <v>46</v>
      </c>
      <c r="E42" s="91" t="s">
        <v>47</v>
      </c>
      <c r="F42" s="88" t="s">
        <v>412</v>
      </c>
      <c r="G42" s="82" t="s">
        <v>398</v>
      </c>
      <c r="H42" s="116" t="s">
        <v>386</v>
      </c>
      <c r="I42" s="155">
        <f t="shared" si="4"/>
        <v>20</v>
      </c>
      <c r="J42" s="156">
        <f t="shared" si="5"/>
        <v>24</v>
      </c>
      <c r="K42" s="136" t="s">
        <v>390</v>
      </c>
      <c r="L42" s="136" t="s">
        <v>390</v>
      </c>
      <c r="M42" s="136" t="s">
        <v>384</v>
      </c>
      <c r="N42" s="136" t="s">
        <v>390</v>
      </c>
      <c r="O42" s="136" t="s">
        <v>390</v>
      </c>
      <c r="P42" s="136" t="s">
        <v>384</v>
      </c>
      <c r="Q42" s="136" t="s">
        <v>384</v>
      </c>
      <c r="R42" s="136" t="s">
        <v>390</v>
      </c>
      <c r="S42" s="136" t="s">
        <v>390</v>
      </c>
      <c r="T42" s="136" t="s">
        <v>384</v>
      </c>
      <c r="U42" s="136" t="s">
        <v>384</v>
      </c>
      <c r="V42" s="121"/>
      <c r="W42" s="136" t="s">
        <v>390</v>
      </c>
      <c r="X42" s="136" t="s">
        <v>390</v>
      </c>
      <c r="Y42" s="136" t="s">
        <v>384</v>
      </c>
      <c r="Z42" s="136" t="s">
        <v>390</v>
      </c>
      <c r="AA42" s="136" t="s">
        <v>384</v>
      </c>
      <c r="AB42" s="136" t="s">
        <v>384</v>
      </c>
      <c r="AC42" s="136" t="s">
        <v>390</v>
      </c>
      <c r="AD42" s="136" t="s">
        <v>390</v>
      </c>
      <c r="AE42" s="136" t="s">
        <v>390</v>
      </c>
      <c r="AF42" s="136" t="s">
        <v>384</v>
      </c>
      <c r="AG42" s="136" t="s">
        <v>390</v>
      </c>
      <c r="AH42" s="136" t="s">
        <v>390</v>
      </c>
      <c r="AI42" s="136" t="s">
        <v>390</v>
      </c>
      <c r="AJ42" s="136" t="s">
        <v>384</v>
      </c>
      <c r="AK42" s="136" t="s">
        <v>384</v>
      </c>
      <c r="AL42" s="136" t="s">
        <v>390</v>
      </c>
      <c r="AM42" s="136" t="s">
        <v>390</v>
      </c>
      <c r="AN42" s="136" t="s">
        <v>390</v>
      </c>
      <c r="AO42" s="136" t="s">
        <v>384</v>
      </c>
      <c r="AP42" s="136" t="s">
        <v>384</v>
      </c>
      <c r="AQ42" s="136" t="s">
        <v>390</v>
      </c>
      <c r="AR42" s="136" t="s">
        <v>390</v>
      </c>
      <c r="AS42" s="136" t="s">
        <v>384</v>
      </c>
      <c r="AT42" s="136" t="s">
        <v>384</v>
      </c>
      <c r="AU42" s="136" t="s">
        <v>384</v>
      </c>
      <c r="AV42" s="136" t="s">
        <v>384</v>
      </c>
      <c r="AW42" s="136" t="s">
        <v>384</v>
      </c>
      <c r="AX42" s="136" t="s">
        <v>384</v>
      </c>
      <c r="AY42" s="136" t="s">
        <v>384</v>
      </c>
      <c r="AZ42" s="85"/>
      <c r="BA42" s="136" t="s">
        <v>384</v>
      </c>
      <c r="BB42" s="136" t="s">
        <v>384</v>
      </c>
      <c r="BC42" s="136" t="s">
        <v>384</v>
      </c>
      <c r="BD42" s="136" t="s">
        <v>384</v>
      </c>
      <c r="BE42" s="127"/>
    </row>
    <row r="43" spans="1:57" ht="15.6">
      <c r="A43" s="97">
        <v>42</v>
      </c>
      <c r="B43" s="376"/>
      <c r="C43" s="374"/>
      <c r="D43" s="79"/>
      <c r="E43" s="91" t="s">
        <v>47</v>
      </c>
      <c r="F43" s="88"/>
      <c r="G43" s="82"/>
      <c r="H43" s="116" t="s">
        <v>387</v>
      </c>
      <c r="I43" s="155">
        <f t="shared" si="4"/>
        <v>20</v>
      </c>
      <c r="J43" s="156">
        <f t="shared" si="5"/>
        <v>24</v>
      </c>
      <c r="K43" s="136" t="s">
        <v>390</v>
      </c>
      <c r="L43" s="136" t="s">
        <v>390</v>
      </c>
      <c r="M43" s="136" t="s">
        <v>384</v>
      </c>
      <c r="N43" s="136" t="s">
        <v>390</v>
      </c>
      <c r="O43" s="136" t="s">
        <v>390</v>
      </c>
      <c r="P43" s="136" t="s">
        <v>384</v>
      </c>
      <c r="Q43" s="136" t="s">
        <v>384</v>
      </c>
      <c r="R43" s="136" t="s">
        <v>390</v>
      </c>
      <c r="S43" s="136" t="s">
        <v>390</v>
      </c>
      <c r="T43" s="136" t="s">
        <v>384</v>
      </c>
      <c r="U43" s="136" t="s">
        <v>384</v>
      </c>
      <c r="V43" s="121"/>
      <c r="W43" s="136" t="s">
        <v>390</v>
      </c>
      <c r="X43" s="136" t="s">
        <v>390</v>
      </c>
      <c r="Y43" s="136" t="s">
        <v>384</v>
      </c>
      <c r="Z43" s="136" t="s">
        <v>390</v>
      </c>
      <c r="AA43" s="136" t="s">
        <v>384</v>
      </c>
      <c r="AB43" s="136" t="s">
        <v>384</v>
      </c>
      <c r="AC43" s="136" t="s">
        <v>390</v>
      </c>
      <c r="AD43" s="136" t="s">
        <v>390</v>
      </c>
      <c r="AE43" s="136" t="s">
        <v>390</v>
      </c>
      <c r="AF43" s="136" t="s">
        <v>384</v>
      </c>
      <c r="AG43" s="136" t="s">
        <v>390</v>
      </c>
      <c r="AH43" s="136" t="s">
        <v>390</v>
      </c>
      <c r="AI43" s="136" t="s">
        <v>390</v>
      </c>
      <c r="AJ43" s="136" t="s">
        <v>384</v>
      </c>
      <c r="AK43" s="136" t="s">
        <v>384</v>
      </c>
      <c r="AL43" s="136" t="s">
        <v>390</v>
      </c>
      <c r="AM43" s="136" t="s">
        <v>390</v>
      </c>
      <c r="AN43" s="136" t="s">
        <v>390</v>
      </c>
      <c r="AO43" s="136" t="s">
        <v>384</v>
      </c>
      <c r="AP43" s="136" t="s">
        <v>384</v>
      </c>
      <c r="AQ43" s="136" t="s">
        <v>390</v>
      </c>
      <c r="AR43" s="136" t="s">
        <v>390</v>
      </c>
      <c r="AS43" s="136" t="s">
        <v>384</v>
      </c>
      <c r="AT43" s="136" t="s">
        <v>384</v>
      </c>
      <c r="AU43" s="136" t="s">
        <v>384</v>
      </c>
      <c r="AV43" s="136" t="s">
        <v>384</v>
      </c>
      <c r="AW43" s="136" t="s">
        <v>384</v>
      </c>
      <c r="AX43" s="136" t="s">
        <v>384</v>
      </c>
      <c r="AY43" s="136" t="s">
        <v>384</v>
      </c>
      <c r="AZ43" s="85"/>
      <c r="BA43" s="136" t="s">
        <v>384</v>
      </c>
      <c r="BB43" s="136" t="s">
        <v>384</v>
      </c>
      <c r="BC43" s="136" t="s">
        <v>384</v>
      </c>
      <c r="BD43" s="136" t="s">
        <v>384</v>
      </c>
      <c r="BE43" s="127"/>
    </row>
    <row r="44" spans="1:57" ht="15.6">
      <c r="A44" s="97">
        <v>43</v>
      </c>
      <c r="B44" s="376"/>
      <c r="C44" s="374"/>
      <c r="D44" s="367" t="s">
        <v>46</v>
      </c>
      <c r="E44" s="91" t="s">
        <v>48</v>
      </c>
      <c r="F44" s="88" t="s">
        <v>413</v>
      </c>
      <c r="G44" s="80"/>
      <c r="H44" s="116" t="s">
        <v>383</v>
      </c>
      <c r="I44" s="155">
        <f t="shared" si="4"/>
        <v>0</v>
      </c>
      <c r="J44" s="156">
        <f t="shared" si="5"/>
        <v>44</v>
      </c>
      <c r="K44" s="136" t="s">
        <v>384</v>
      </c>
      <c r="L44" s="136" t="s">
        <v>384</v>
      </c>
      <c r="M44" s="136" t="s">
        <v>384</v>
      </c>
      <c r="N44" s="136" t="s">
        <v>384</v>
      </c>
      <c r="O44" s="136" t="s">
        <v>384</v>
      </c>
      <c r="P44" s="136" t="s">
        <v>384</v>
      </c>
      <c r="Q44" s="136" t="s">
        <v>384</v>
      </c>
      <c r="R44" s="136" t="s">
        <v>384</v>
      </c>
      <c r="S44" s="136" t="s">
        <v>384</v>
      </c>
      <c r="T44" s="136" t="s">
        <v>384</v>
      </c>
      <c r="U44" s="136" t="s">
        <v>384</v>
      </c>
      <c r="V44" s="121"/>
      <c r="W44" s="136" t="s">
        <v>384</v>
      </c>
      <c r="X44" s="136" t="s">
        <v>384</v>
      </c>
      <c r="Y44" s="136" t="s">
        <v>384</v>
      </c>
      <c r="Z44" s="136" t="s">
        <v>384</v>
      </c>
      <c r="AA44" s="136" t="s">
        <v>384</v>
      </c>
      <c r="AB44" s="136" t="s">
        <v>384</v>
      </c>
      <c r="AC44" s="136" t="s">
        <v>384</v>
      </c>
      <c r="AD44" s="136" t="s">
        <v>384</v>
      </c>
      <c r="AE44" s="136" t="s">
        <v>384</v>
      </c>
      <c r="AF44" s="136" t="s">
        <v>384</v>
      </c>
      <c r="AG44" s="136" t="s">
        <v>384</v>
      </c>
      <c r="AH44" s="136" t="s">
        <v>384</v>
      </c>
      <c r="AI44" s="136" t="s">
        <v>384</v>
      </c>
      <c r="AJ44" s="136" t="s">
        <v>384</v>
      </c>
      <c r="AK44" s="136" t="s">
        <v>384</v>
      </c>
      <c r="AL44" s="136" t="s">
        <v>384</v>
      </c>
      <c r="AM44" s="136" t="s">
        <v>384</v>
      </c>
      <c r="AN44" s="136" t="s">
        <v>384</v>
      </c>
      <c r="AO44" s="136" t="s">
        <v>384</v>
      </c>
      <c r="AP44" s="136" t="s">
        <v>384</v>
      </c>
      <c r="AQ44" s="136" t="s">
        <v>384</v>
      </c>
      <c r="AR44" s="136" t="s">
        <v>384</v>
      </c>
      <c r="AS44" s="136" t="s">
        <v>384</v>
      </c>
      <c r="AT44" s="136" t="s">
        <v>384</v>
      </c>
      <c r="AU44" s="136" t="s">
        <v>384</v>
      </c>
      <c r="AV44" s="136" t="s">
        <v>384</v>
      </c>
      <c r="AW44" s="136" t="s">
        <v>384</v>
      </c>
      <c r="AX44" s="136" t="s">
        <v>384</v>
      </c>
      <c r="AY44" s="136" t="s">
        <v>384</v>
      </c>
      <c r="AZ44" s="85"/>
      <c r="BA44" s="136" t="s">
        <v>384</v>
      </c>
      <c r="BB44" s="136" t="s">
        <v>384</v>
      </c>
      <c r="BC44" s="136" t="s">
        <v>384</v>
      </c>
      <c r="BD44" s="136" t="s">
        <v>384</v>
      </c>
      <c r="BE44" s="127"/>
    </row>
    <row r="45" spans="1:57" ht="15.6">
      <c r="A45" s="97">
        <v>44</v>
      </c>
      <c r="B45" s="376"/>
      <c r="C45" s="374"/>
      <c r="D45" s="367"/>
      <c r="E45" s="91" t="s">
        <v>48</v>
      </c>
      <c r="F45" s="88"/>
      <c r="G45" s="80"/>
      <c r="H45" s="116" t="s">
        <v>385</v>
      </c>
      <c r="I45" s="155">
        <f t="shared" si="4"/>
        <v>0</v>
      </c>
      <c r="J45" s="156">
        <f t="shared" si="5"/>
        <v>44</v>
      </c>
      <c r="K45" s="136" t="s">
        <v>384</v>
      </c>
      <c r="L45" s="136" t="s">
        <v>384</v>
      </c>
      <c r="M45" s="136" t="s">
        <v>384</v>
      </c>
      <c r="N45" s="136" t="s">
        <v>384</v>
      </c>
      <c r="O45" s="136" t="s">
        <v>384</v>
      </c>
      <c r="P45" s="136" t="s">
        <v>384</v>
      </c>
      <c r="Q45" s="136" t="s">
        <v>384</v>
      </c>
      <c r="R45" s="136" t="s">
        <v>384</v>
      </c>
      <c r="S45" s="136" t="s">
        <v>384</v>
      </c>
      <c r="T45" s="136" t="s">
        <v>384</v>
      </c>
      <c r="U45" s="136" t="s">
        <v>384</v>
      </c>
      <c r="V45" s="121"/>
      <c r="W45" s="136" t="s">
        <v>384</v>
      </c>
      <c r="X45" s="136" t="s">
        <v>384</v>
      </c>
      <c r="Y45" s="136" t="s">
        <v>384</v>
      </c>
      <c r="Z45" s="136" t="s">
        <v>384</v>
      </c>
      <c r="AA45" s="136" t="s">
        <v>384</v>
      </c>
      <c r="AB45" s="136" t="s">
        <v>384</v>
      </c>
      <c r="AC45" s="136" t="s">
        <v>384</v>
      </c>
      <c r="AD45" s="136" t="s">
        <v>384</v>
      </c>
      <c r="AE45" s="136" t="s">
        <v>384</v>
      </c>
      <c r="AF45" s="136" t="s">
        <v>384</v>
      </c>
      <c r="AG45" s="136" t="s">
        <v>384</v>
      </c>
      <c r="AH45" s="136" t="s">
        <v>384</v>
      </c>
      <c r="AI45" s="136" t="s">
        <v>384</v>
      </c>
      <c r="AJ45" s="136" t="s">
        <v>384</v>
      </c>
      <c r="AK45" s="136" t="s">
        <v>384</v>
      </c>
      <c r="AL45" s="136" t="s">
        <v>384</v>
      </c>
      <c r="AM45" s="136" t="s">
        <v>384</v>
      </c>
      <c r="AN45" s="136" t="s">
        <v>384</v>
      </c>
      <c r="AO45" s="136" t="s">
        <v>384</v>
      </c>
      <c r="AP45" s="136" t="s">
        <v>384</v>
      </c>
      <c r="AQ45" s="136" t="s">
        <v>384</v>
      </c>
      <c r="AR45" s="136" t="s">
        <v>384</v>
      </c>
      <c r="AS45" s="136" t="s">
        <v>384</v>
      </c>
      <c r="AT45" s="136" t="s">
        <v>384</v>
      </c>
      <c r="AU45" s="136" t="s">
        <v>384</v>
      </c>
      <c r="AV45" s="136" t="s">
        <v>384</v>
      </c>
      <c r="AW45" s="136" t="s">
        <v>384</v>
      </c>
      <c r="AX45" s="136" t="s">
        <v>384</v>
      </c>
      <c r="AY45" s="136" t="s">
        <v>384</v>
      </c>
      <c r="AZ45" s="85"/>
      <c r="BA45" s="136" t="s">
        <v>384</v>
      </c>
      <c r="BB45" s="136" t="s">
        <v>384</v>
      </c>
      <c r="BC45" s="136" t="s">
        <v>384</v>
      </c>
      <c r="BD45" s="136" t="s">
        <v>384</v>
      </c>
      <c r="BE45" s="127"/>
    </row>
    <row r="46" spans="1:57" ht="15.6">
      <c r="A46" s="97">
        <v>45</v>
      </c>
      <c r="B46" s="376"/>
      <c r="C46" s="374"/>
      <c r="D46" s="367"/>
      <c r="E46" s="93" t="s">
        <v>49</v>
      </c>
      <c r="F46" s="80"/>
      <c r="G46" s="80"/>
      <c r="H46" s="116" t="s">
        <v>386</v>
      </c>
      <c r="I46" s="155">
        <f t="shared" si="4"/>
        <v>0</v>
      </c>
      <c r="J46" s="156">
        <f t="shared" si="5"/>
        <v>44</v>
      </c>
      <c r="K46" s="136" t="s">
        <v>384</v>
      </c>
      <c r="L46" s="136" t="s">
        <v>384</v>
      </c>
      <c r="M46" s="136" t="s">
        <v>384</v>
      </c>
      <c r="N46" s="136" t="s">
        <v>384</v>
      </c>
      <c r="O46" s="136" t="s">
        <v>384</v>
      </c>
      <c r="P46" s="136" t="s">
        <v>384</v>
      </c>
      <c r="Q46" s="136" t="s">
        <v>384</v>
      </c>
      <c r="R46" s="136" t="s">
        <v>384</v>
      </c>
      <c r="S46" s="136" t="s">
        <v>384</v>
      </c>
      <c r="T46" s="136" t="s">
        <v>384</v>
      </c>
      <c r="U46" s="136" t="s">
        <v>384</v>
      </c>
      <c r="V46" s="121"/>
      <c r="W46" s="136" t="s">
        <v>384</v>
      </c>
      <c r="X46" s="136" t="s">
        <v>384</v>
      </c>
      <c r="Y46" s="136" t="s">
        <v>384</v>
      </c>
      <c r="Z46" s="136" t="s">
        <v>384</v>
      </c>
      <c r="AA46" s="136" t="s">
        <v>384</v>
      </c>
      <c r="AB46" s="136" t="s">
        <v>384</v>
      </c>
      <c r="AC46" s="136" t="s">
        <v>384</v>
      </c>
      <c r="AD46" s="136" t="s">
        <v>384</v>
      </c>
      <c r="AE46" s="136" t="s">
        <v>384</v>
      </c>
      <c r="AF46" s="136" t="s">
        <v>384</v>
      </c>
      <c r="AG46" s="136" t="s">
        <v>384</v>
      </c>
      <c r="AH46" s="136" t="s">
        <v>384</v>
      </c>
      <c r="AI46" s="136" t="s">
        <v>384</v>
      </c>
      <c r="AJ46" s="136" t="s">
        <v>384</v>
      </c>
      <c r="AK46" s="136" t="s">
        <v>384</v>
      </c>
      <c r="AL46" s="136" t="s">
        <v>384</v>
      </c>
      <c r="AM46" s="136" t="s">
        <v>384</v>
      </c>
      <c r="AN46" s="136" t="s">
        <v>384</v>
      </c>
      <c r="AO46" s="136" t="s">
        <v>384</v>
      </c>
      <c r="AP46" s="136" t="s">
        <v>384</v>
      </c>
      <c r="AQ46" s="136" t="s">
        <v>384</v>
      </c>
      <c r="AR46" s="136" t="s">
        <v>384</v>
      </c>
      <c r="AS46" s="136" t="s">
        <v>384</v>
      </c>
      <c r="AT46" s="136" t="s">
        <v>384</v>
      </c>
      <c r="AU46" s="136" t="s">
        <v>384</v>
      </c>
      <c r="AV46" s="136" t="s">
        <v>384</v>
      </c>
      <c r="AW46" s="136" t="s">
        <v>384</v>
      </c>
      <c r="AX46" s="136" t="s">
        <v>384</v>
      </c>
      <c r="AY46" s="136" t="s">
        <v>384</v>
      </c>
      <c r="AZ46" s="85"/>
      <c r="BA46" s="136" t="s">
        <v>384</v>
      </c>
      <c r="BB46" s="136" t="s">
        <v>384</v>
      </c>
      <c r="BC46" s="136" t="s">
        <v>384</v>
      </c>
      <c r="BD46" s="136" t="s">
        <v>384</v>
      </c>
      <c r="BE46" s="127"/>
    </row>
    <row r="47" spans="1:57" ht="15.6">
      <c r="A47" s="97">
        <v>46</v>
      </c>
      <c r="B47" s="376"/>
      <c r="C47" s="374"/>
      <c r="D47" s="367"/>
      <c r="E47" s="93" t="s">
        <v>49</v>
      </c>
      <c r="F47" s="80"/>
      <c r="G47" s="80"/>
      <c r="H47" s="116" t="s">
        <v>387</v>
      </c>
      <c r="I47" s="155">
        <f t="shared" si="4"/>
        <v>0</v>
      </c>
      <c r="J47" s="156">
        <f t="shared" si="5"/>
        <v>44</v>
      </c>
      <c r="K47" s="136" t="s">
        <v>384</v>
      </c>
      <c r="L47" s="136" t="s">
        <v>384</v>
      </c>
      <c r="M47" s="136" t="s">
        <v>384</v>
      </c>
      <c r="N47" s="136" t="s">
        <v>384</v>
      </c>
      <c r="O47" s="136" t="s">
        <v>384</v>
      </c>
      <c r="P47" s="136" t="s">
        <v>384</v>
      </c>
      <c r="Q47" s="136" t="s">
        <v>384</v>
      </c>
      <c r="R47" s="136" t="s">
        <v>384</v>
      </c>
      <c r="S47" s="136" t="s">
        <v>384</v>
      </c>
      <c r="T47" s="136" t="s">
        <v>384</v>
      </c>
      <c r="U47" s="136" t="s">
        <v>384</v>
      </c>
      <c r="V47" s="121"/>
      <c r="W47" s="136" t="s">
        <v>384</v>
      </c>
      <c r="X47" s="136" t="s">
        <v>384</v>
      </c>
      <c r="Y47" s="136" t="s">
        <v>384</v>
      </c>
      <c r="Z47" s="136" t="s">
        <v>384</v>
      </c>
      <c r="AA47" s="136" t="s">
        <v>384</v>
      </c>
      <c r="AB47" s="136" t="s">
        <v>384</v>
      </c>
      <c r="AC47" s="136" t="s">
        <v>384</v>
      </c>
      <c r="AD47" s="136" t="s">
        <v>384</v>
      </c>
      <c r="AE47" s="136" t="s">
        <v>384</v>
      </c>
      <c r="AF47" s="136" t="s">
        <v>384</v>
      </c>
      <c r="AG47" s="136" t="s">
        <v>384</v>
      </c>
      <c r="AH47" s="136" t="s">
        <v>384</v>
      </c>
      <c r="AI47" s="136" t="s">
        <v>384</v>
      </c>
      <c r="AJ47" s="136" t="s">
        <v>384</v>
      </c>
      <c r="AK47" s="136" t="s">
        <v>384</v>
      </c>
      <c r="AL47" s="136" t="s">
        <v>384</v>
      </c>
      <c r="AM47" s="136" t="s">
        <v>384</v>
      </c>
      <c r="AN47" s="136" t="s">
        <v>384</v>
      </c>
      <c r="AO47" s="136" t="s">
        <v>384</v>
      </c>
      <c r="AP47" s="136" t="s">
        <v>384</v>
      </c>
      <c r="AQ47" s="136" t="s">
        <v>384</v>
      </c>
      <c r="AR47" s="136" t="s">
        <v>384</v>
      </c>
      <c r="AS47" s="136" t="s">
        <v>384</v>
      </c>
      <c r="AT47" s="136" t="s">
        <v>384</v>
      </c>
      <c r="AU47" s="136" t="s">
        <v>384</v>
      </c>
      <c r="AV47" s="136" t="s">
        <v>384</v>
      </c>
      <c r="AW47" s="136" t="s">
        <v>384</v>
      </c>
      <c r="AX47" s="136" t="s">
        <v>384</v>
      </c>
      <c r="AY47" s="136" t="s">
        <v>384</v>
      </c>
      <c r="AZ47" s="85"/>
      <c r="BA47" s="136" t="s">
        <v>384</v>
      </c>
      <c r="BB47" s="136" t="s">
        <v>384</v>
      </c>
      <c r="BC47" s="136" t="s">
        <v>384</v>
      </c>
      <c r="BD47" s="136" t="s">
        <v>384</v>
      </c>
      <c r="BE47" s="127"/>
    </row>
    <row r="48" spans="1:57" ht="15.6">
      <c r="A48" s="97">
        <v>47</v>
      </c>
      <c r="B48" s="376"/>
      <c r="C48" s="374"/>
      <c r="D48" s="367"/>
      <c r="E48" s="93" t="s">
        <v>50</v>
      </c>
      <c r="F48" s="80"/>
      <c r="G48" s="80"/>
      <c r="H48" s="116" t="s">
        <v>386</v>
      </c>
      <c r="I48" s="155">
        <f t="shared" si="4"/>
        <v>0</v>
      </c>
      <c r="J48" s="156">
        <f t="shared" si="5"/>
        <v>44</v>
      </c>
      <c r="K48" s="136" t="s">
        <v>384</v>
      </c>
      <c r="L48" s="136" t="s">
        <v>384</v>
      </c>
      <c r="M48" s="136" t="s">
        <v>384</v>
      </c>
      <c r="N48" s="136" t="s">
        <v>384</v>
      </c>
      <c r="O48" s="136" t="s">
        <v>384</v>
      </c>
      <c r="P48" s="136" t="s">
        <v>384</v>
      </c>
      <c r="Q48" s="136" t="s">
        <v>384</v>
      </c>
      <c r="R48" s="136" t="s">
        <v>384</v>
      </c>
      <c r="S48" s="136" t="s">
        <v>384</v>
      </c>
      <c r="T48" s="136" t="s">
        <v>384</v>
      </c>
      <c r="U48" s="136" t="s">
        <v>384</v>
      </c>
      <c r="V48" s="121"/>
      <c r="W48" s="136" t="s">
        <v>384</v>
      </c>
      <c r="X48" s="136" t="s">
        <v>384</v>
      </c>
      <c r="Y48" s="136" t="s">
        <v>384</v>
      </c>
      <c r="Z48" s="136" t="s">
        <v>384</v>
      </c>
      <c r="AA48" s="136" t="s">
        <v>384</v>
      </c>
      <c r="AB48" s="136" t="s">
        <v>384</v>
      </c>
      <c r="AC48" s="136" t="s">
        <v>384</v>
      </c>
      <c r="AD48" s="136" t="s">
        <v>384</v>
      </c>
      <c r="AE48" s="136" t="s">
        <v>384</v>
      </c>
      <c r="AF48" s="136" t="s">
        <v>384</v>
      </c>
      <c r="AG48" s="136" t="s">
        <v>384</v>
      </c>
      <c r="AH48" s="136" t="s">
        <v>384</v>
      </c>
      <c r="AI48" s="136" t="s">
        <v>384</v>
      </c>
      <c r="AJ48" s="136" t="s">
        <v>384</v>
      </c>
      <c r="AK48" s="136" t="s">
        <v>384</v>
      </c>
      <c r="AL48" s="136" t="s">
        <v>384</v>
      </c>
      <c r="AM48" s="136" t="s">
        <v>384</v>
      </c>
      <c r="AN48" s="136" t="s">
        <v>384</v>
      </c>
      <c r="AO48" s="136" t="s">
        <v>384</v>
      </c>
      <c r="AP48" s="136" t="s">
        <v>384</v>
      </c>
      <c r="AQ48" s="136" t="s">
        <v>384</v>
      </c>
      <c r="AR48" s="136" t="s">
        <v>384</v>
      </c>
      <c r="AS48" s="136" t="s">
        <v>384</v>
      </c>
      <c r="AT48" s="136" t="s">
        <v>384</v>
      </c>
      <c r="AU48" s="136" t="s">
        <v>384</v>
      </c>
      <c r="AV48" s="136" t="s">
        <v>384</v>
      </c>
      <c r="AW48" s="136" t="s">
        <v>384</v>
      </c>
      <c r="AX48" s="136" t="s">
        <v>384</v>
      </c>
      <c r="AY48" s="136" t="s">
        <v>384</v>
      </c>
      <c r="AZ48" s="85"/>
      <c r="BA48" s="136" t="s">
        <v>384</v>
      </c>
      <c r="BB48" s="136" t="s">
        <v>384</v>
      </c>
      <c r="BC48" s="136" t="s">
        <v>384</v>
      </c>
      <c r="BD48" s="136" t="s">
        <v>384</v>
      </c>
      <c r="BE48" s="127"/>
    </row>
    <row r="49" spans="1:57" ht="15.6">
      <c r="A49" s="97">
        <v>48</v>
      </c>
      <c r="B49" s="376"/>
      <c r="C49" s="374"/>
      <c r="D49" s="83"/>
      <c r="E49" s="93" t="s">
        <v>50</v>
      </c>
      <c r="F49" s="80"/>
      <c r="G49" s="80"/>
      <c r="H49" s="116" t="s">
        <v>387</v>
      </c>
      <c r="I49" s="155">
        <f t="shared" si="4"/>
        <v>0</v>
      </c>
      <c r="J49" s="156">
        <f t="shared" si="5"/>
        <v>44</v>
      </c>
      <c r="K49" s="136" t="s">
        <v>384</v>
      </c>
      <c r="L49" s="136" t="s">
        <v>384</v>
      </c>
      <c r="M49" s="136" t="s">
        <v>384</v>
      </c>
      <c r="N49" s="136" t="s">
        <v>384</v>
      </c>
      <c r="O49" s="136" t="s">
        <v>384</v>
      </c>
      <c r="P49" s="136" t="s">
        <v>384</v>
      </c>
      <c r="Q49" s="136" t="s">
        <v>384</v>
      </c>
      <c r="R49" s="136" t="s">
        <v>384</v>
      </c>
      <c r="S49" s="136" t="s">
        <v>384</v>
      </c>
      <c r="T49" s="136" t="s">
        <v>384</v>
      </c>
      <c r="U49" s="136" t="s">
        <v>384</v>
      </c>
      <c r="V49" s="121"/>
      <c r="W49" s="136" t="s">
        <v>384</v>
      </c>
      <c r="X49" s="136" t="s">
        <v>384</v>
      </c>
      <c r="Y49" s="136" t="s">
        <v>384</v>
      </c>
      <c r="Z49" s="136" t="s">
        <v>384</v>
      </c>
      <c r="AA49" s="136" t="s">
        <v>384</v>
      </c>
      <c r="AB49" s="136" t="s">
        <v>384</v>
      </c>
      <c r="AC49" s="136" t="s">
        <v>384</v>
      </c>
      <c r="AD49" s="136" t="s">
        <v>384</v>
      </c>
      <c r="AE49" s="136" t="s">
        <v>384</v>
      </c>
      <c r="AF49" s="136" t="s">
        <v>384</v>
      </c>
      <c r="AG49" s="136" t="s">
        <v>384</v>
      </c>
      <c r="AH49" s="136" t="s">
        <v>384</v>
      </c>
      <c r="AI49" s="136" t="s">
        <v>384</v>
      </c>
      <c r="AJ49" s="136" t="s">
        <v>384</v>
      </c>
      <c r="AK49" s="136" t="s">
        <v>384</v>
      </c>
      <c r="AL49" s="136" t="s">
        <v>384</v>
      </c>
      <c r="AM49" s="136" t="s">
        <v>384</v>
      </c>
      <c r="AN49" s="136" t="s">
        <v>384</v>
      </c>
      <c r="AO49" s="136" t="s">
        <v>384</v>
      </c>
      <c r="AP49" s="136" t="s">
        <v>384</v>
      </c>
      <c r="AQ49" s="136" t="s">
        <v>384</v>
      </c>
      <c r="AR49" s="136" t="s">
        <v>384</v>
      </c>
      <c r="AS49" s="136" t="s">
        <v>384</v>
      </c>
      <c r="AT49" s="136" t="s">
        <v>384</v>
      </c>
      <c r="AU49" s="136" t="s">
        <v>384</v>
      </c>
      <c r="AV49" s="136" t="s">
        <v>384</v>
      </c>
      <c r="AW49" s="136" t="s">
        <v>384</v>
      </c>
      <c r="AX49" s="136" t="s">
        <v>384</v>
      </c>
      <c r="AY49" s="136" t="s">
        <v>384</v>
      </c>
      <c r="AZ49" s="85"/>
      <c r="BA49" s="136" t="s">
        <v>384</v>
      </c>
      <c r="BB49" s="136" t="s">
        <v>384</v>
      </c>
      <c r="BC49" s="136" t="s">
        <v>384</v>
      </c>
      <c r="BD49" s="136" t="s">
        <v>384</v>
      </c>
      <c r="BE49" s="127"/>
    </row>
    <row r="50" spans="1:57" ht="15.6">
      <c r="A50" s="97">
        <v>49</v>
      </c>
      <c r="B50" s="376"/>
      <c r="C50" s="374" t="s">
        <v>414</v>
      </c>
      <c r="D50" s="368" t="s">
        <v>52</v>
      </c>
      <c r="E50" s="93" t="s">
        <v>53</v>
      </c>
      <c r="F50" s="80"/>
      <c r="G50" s="80"/>
      <c r="H50" s="118" t="s">
        <v>383</v>
      </c>
      <c r="I50" s="155">
        <f t="shared" si="4"/>
        <v>0</v>
      </c>
      <c r="J50" s="156">
        <f t="shared" si="5"/>
        <v>44</v>
      </c>
      <c r="K50" s="136" t="s">
        <v>384</v>
      </c>
      <c r="L50" s="136" t="s">
        <v>384</v>
      </c>
      <c r="M50" s="136" t="s">
        <v>384</v>
      </c>
      <c r="N50" s="136" t="s">
        <v>384</v>
      </c>
      <c r="O50" s="136" t="s">
        <v>384</v>
      </c>
      <c r="P50" s="136" t="s">
        <v>384</v>
      </c>
      <c r="Q50" s="136" t="s">
        <v>384</v>
      </c>
      <c r="R50" s="136" t="s">
        <v>384</v>
      </c>
      <c r="S50" s="136" t="s">
        <v>384</v>
      </c>
      <c r="T50" s="136" t="s">
        <v>384</v>
      </c>
      <c r="U50" s="136" t="s">
        <v>384</v>
      </c>
      <c r="V50" s="121"/>
      <c r="W50" s="136" t="s">
        <v>384</v>
      </c>
      <c r="X50" s="136" t="s">
        <v>384</v>
      </c>
      <c r="Y50" s="136" t="s">
        <v>384</v>
      </c>
      <c r="Z50" s="136" t="s">
        <v>384</v>
      </c>
      <c r="AA50" s="136" t="s">
        <v>384</v>
      </c>
      <c r="AB50" s="136" t="s">
        <v>384</v>
      </c>
      <c r="AC50" s="136" t="s">
        <v>384</v>
      </c>
      <c r="AD50" s="136" t="s">
        <v>384</v>
      </c>
      <c r="AE50" s="136" t="s">
        <v>384</v>
      </c>
      <c r="AF50" s="136" t="s">
        <v>384</v>
      </c>
      <c r="AG50" s="136" t="s">
        <v>384</v>
      </c>
      <c r="AH50" s="136" t="s">
        <v>384</v>
      </c>
      <c r="AI50" s="136" t="s">
        <v>384</v>
      </c>
      <c r="AJ50" s="136" t="s">
        <v>384</v>
      </c>
      <c r="AK50" s="136" t="s">
        <v>384</v>
      </c>
      <c r="AL50" s="136" t="s">
        <v>384</v>
      </c>
      <c r="AM50" s="136" t="s">
        <v>384</v>
      </c>
      <c r="AN50" s="136" t="s">
        <v>384</v>
      </c>
      <c r="AO50" s="136" t="s">
        <v>384</v>
      </c>
      <c r="AP50" s="136" t="s">
        <v>384</v>
      </c>
      <c r="AQ50" s="136" t="s">
        <v>384</v>
      </c>
      <c r="AR50" s="136" t="s">
        <v>384</v>
      </c>
      <c r="AS50" s="136" t="s">
        <v>384</v>
      </c>
      <c r="AT50" s="136" t="s">
        <v>384</v>
      </c>
      <c r="AU50" s="136" t="s">
        <v>384</v>
      </c>
      <c r="AV50" s="136" t="s">
        <v>384</v>
      </c>
      <c r="AW50" s="136" t="s">
        <v>384</v>
      </c>
      <c r="AX50" s="136" t="s">
        <v>384</v>
      </c>
      <c r="AY50" s="136" t="s">
        <v>384</v>
      </c>
      <c r="AZ50" s="85"/>
      <c r="BA50" s="136" t="s">
        <v>384</v>
      </c>
      <c r="BB50" s="136" t="s">
        <v>384</v>
      </c>
      <c r="BC50" s="136" t="s">
        <v>384</v>
      </c>
      <c r="BD50" s="136" t="s">
        <v>384</v>
      </c>
      <c r="BE50" s="127"/>
    </row>
    <row r="51" spans="1:57" ht="15.6">
      <c r="A51" s="97">
        <v>50</v>
      </c>
      <c r="B51" s="376"/>
      <c r="C51" s="374"/>
      <c r="D51" s="368"/>
      <c r="E51" s="93" t="s">
        <v>53</v>
      </c>
      <c r="F51" s="80"/>
      <c r="G51" s="80"/>
      <c r="H51" s="116" t="s">
        <v>385</v>
      </c>
      <c r="I51" s="155">
        <f t="shared" si="4"/>
        <v>0</v>
      </c>
      <c r="J51" s="156">
        <f t="shared" si="5"/>
        <v>44</v>
      </c>
      <c r="K51" s="136" t="s">
        <v>384</v>
      </c>
      <c r="L51" s="136" t="s">
        <v>384</v>
      </c>
      <c r="M51" s="136" t="s">
        <v>384</v>
      </c>
      <c r="N51" s="136" t="s">
        <v>384</v>
      </c>
      <c r="O51" s="136" t="s">
        <v>384</v>
      </c>
      <c r="P51" s="136" t="s">
        <v>384</v>
      </c>
      <c r="Q51" s="136" t="s">
        <v>384</v>
      </c>
      <c r="R51" s="136" t="s">
        <v>384</v>
      </c>
      <c r="S51" s="136" t="s">
        <v>384</v>
      </c>
      <c r="T51" s="136" t="s">
        <v>384</v>
      </c>
      <c r="U51" s="136" t="s">
        <v>384</v>
      </c>
      <c r="V51" s="121"/>
      <c r="W51" s="136" t="s">
        <v>384</v>
      </c>
      <c r="X51" s="136" t="s">
        <v>384</v>
      </c>
      <c r="Y51" s="136" t="s">
        <v>384</v>
      </c>
      <c r="Z51" s="136" t="s">
        <v>384</v>
      </c>
      <c r="AA51" s="136" t="s">
        <v>384</v>
      </c>
      <c r="AB51" s="136" t="s">
        <v>384</v>
      </c>
      <c r="AC51" s="136" t="s">
        <v>384</v>
      </c>
      <c r="AD51" s="136" t="s">
        <v>384</v>
      </c>
      <c r="AE51" s="136" t="s">
        <v>384</v>
      </c>
      <c r="AF51" s="136" t="s">
        <v>384</v>
      </c>
      <c r="AG51" s="136" t="s">
        <v>384</v>
      </c>
      <c r="AH51" s="136" t="s">
        <v>384</v>
      </c>
      <c r="AI51" s="136" t="s">
        <v>384</v>
      </c>
      <c r="AJ51" s="136" t="s">
        <v>384</v>
      </c>
      <c r="AK51" s="136" t="s">
        <v>384</v>
      </c>
      <c r="AL51" s="136" t="s">
        <v>384</v>
      </c>
      <c r="AM51" s="136" t="s">
        <v>384</v>
      </c>
      <c r="AN51" s="136" t="s">
        <v>384</v>
      </c>
      <c r="AO51" s="136" t="s">
        <v>384</v>
      </c>
      <c r="AP51" s="136" t="s">
        <v>384</v>
      </c>
      <c r="AQ51" s="136" t="s">
        <v>384</v>
      </c>
      <c r="AR51" s="136" t="s">
        <v>384</v>
      </c>
      <c r="AS51" s="136" t="s">
        <v>384</v>
      </c>
      <c r="AT51" s="136" t="s">
        <v>384</v>
      </c>
      <c r="AU51" s="136" t="s">
        <v>384</v>
      </c>
      <c r="AV51" s="136" t="s">
        <v>384</v>
      </c>
      <c r="AW51" s="136" t="s">
        <v>384</v>
      </c>
      <c r="AX51" s="136" t="s">
        <v>384</v>
      </c>
      <c r="AY51" s="136" t="s">
        <v>384</v>
      </c>
      <c r="AZ51" s="85"/>
      <c r="BA51" s="136" t="s">
        <v>384</v>
      </c>
      <c r="BB51" s="136" t="s">
        <v>384</v>
      </c>
      <c r="BC51" s="136" t="s">
        <v>384</v>
      </c>
      <c r="BD51" s="136" t="s">
        <v>384</v>
      </c>
      <c r="BE51" s="127"/>
    </row>
    <row r="52" spans="1:57" ht="15.6">
      <c r="A52" s="97">
        <v>51</v>
      </c>
      <c r="B52" s="376"/>
      <c r="C52" s="374"/>
      <c r="D52" s="368"/>
      <c r="E52" s="93" t="s">
        <v>54</v>
      </c>
      <c r="F52" s="80"/>
      <c r="G52" s="80"/>
      <c r="H52" s="116" t="s">
        <v>383</v>
      </c>
      <c r="I52" s="155">
        <f t="shared" si="4"/>
        <v>0</v>
      </c>
      <c r="J52" s="156">
        <f t="shared" si="5"/>
        <v>44</v>
      </c>
      <c r="K52" s="136" t="s">
        <v>384</v>
      </c>
      <c r="L52" s="136" t="s">
        <v>384</v>
      </c>
      <c r="M52" s="136" t="s">
        <v>384</v>
      </c>
      <c r="N52" s="136" t="s">
        <v>384</v>
      </c>
      <c r="O52" s="136" t="s">
        <v>384</v>
      </c>
      <c r="P52" s="136" t="s">
        <v>384</v>
      </c>
      <c r="Q52" s="136" t="s">
        <v>384</v>
      </c>
      <c r="R52" s="136" t="s">
        <v>384</v>
      </c>
      <c r="S52" s="136" t="s">
        <v>384</v>
      </c>
      <c r="T52" s="136" t="s">
        <v>384</v>
      </c>
      <c r="U52" s="136" t="s">
        <v>384</v>
      </c>
      <c r="V52" s="121"/>
      <c r="W52" s="136" t="s">
        <v>384</v>
      </c>
      <c r="X52" s="136" t="s">
        <v>384</v>
      </c>
      <c r="Y52" s="136" t="s">
        <v>384</v>
      </c>
      <c r="Z52" s="136" t="s">
        <v>384</v>
      </c>
      <c r="AA52" s="136" t="s">
        <v>384</v>
      </c>
      <c r="AB52" s="136" t="s">
        <v>384</v>
      </c>
      <c r="AC52" s="136" t="s">
        <v>384</v>
      </c>
      <c r="AD52" s="136" t="s">
        <v>384</v>
      </c>
      <c r="AE52" s="136" t="s">
        <v>384</v>
      </c>
      <c r="AF52" s="136" t="s">
        <v>384</v>
      </c>
      <c r="AG52" s="136" t="s">
        <v>384</v>
      </c>
      <c r="AH52" s="136" t="s">
        <v>384</v>
      </c>
      <c r="AI52" s="136" t="s">
        <v>384</v>
      </c>
      <c r="AJ52" s="136" t="s">
        <v>384</v>
      </c>
      <c r="AK52" s="136" t="s">
        <v>384</v>
      </c>
      <c r="AL52" s="136" t="s">
        <v>384</v>
      </c>
      <c r="AM52" s="136" t="s">
        <v>384</v>
      </c>
      <c r="AN52" s="136" t="s">
        <v>384</v>
      </c>
      <c r="AO52" s="136" t="s">
        <v>384</v>
      </c>
      <c r="AP52" s="136" t="s">
        <v>384</v>
      </c>
      <c r="AQ52" s="136" t="s">
        <v>384</v>
      </c>
      <c r="AR52" s="136" t="s">
        <v>384</v>
      </c>
      <c r="AS52" s="136" t="s">
        <v>384</v>
      </c>
      <c r="AT52" s="136" t="s">
        <v>384</v>
      </c>
      <c r="AU52" s="136" t="s">
        <v>384</v>
      </c>
      <c r="AV52" s="136" t="s">
        <v>384</v>
      </c>
      <c r="AW52" s="136" t="s">
        <v>384</v>
      </c>
      <c r="AX52" s="136" t="s">
        <v>384</v>
      </c>
      <c r="AY52" s="136" t="s">
        <v>384</v>
      </c>
      <c r="AZ52" s="85"/>
      <c r="BA52" s="136" t="s">
        <v>384</v>
      </c>
      <c r="BB52" s="136" t="s">
        <v>384</v>
      </c>
      <c r="BC52" s="136" t="s">
        <v>384</v>
      </c>
      <c r="BD52" s="136" t="s">
        <v>384</v>
      </c>
      <c r="BE52" s="127"/>
    </row>
    <row r="53" spans="1:57" ht="15.6">
      <c r="A53" s="97">
        <v>52</v>
      </c>
      <c r="B53" s="376"/>
      <c r="C53" s="374"/>
      <c r="D53" s="368"/>
      <c r="E53" s="93" t="s">
        <v>54</v>
      </c>
      <c r="F53" s="80"/>
      <c r="G53" s="80"/>
      <c r="H53" s="116" t="s">
        <v>385</v>
      </c>
      <c r="I53" s="155">
        <f t="shared" si="4"/>
        <v>0</v>
      </c>
      <c r="J53" s="156">
        <f t="shared" si="5"/>
        <v>44</v>
      </c>
      <c r="K53" s="136" t="s">
        <v>384</v>
      </c>
      <c r="L53" s="136" t="s">
        <v>384</v>
      </c>
      <c r="M53" s="136" t="s">
        <v>384</v>
      </c>
      <c r="N53" s="136" t="s">
        <v>384</v>
      </c>
      <c r="O53" s="136" t="s">
        <v>384</v>
      </c>
      <c r="P53" s="136" t="s">
        <v>384</v>
      </c>
      <c r="Q53" s="136" t="s">
        <v>384</v>
      </c>
      <c r="R53" s="136" t="s">
        <v>384</v>
      </c>
      <c r="S53" s="136" t="s">
        <v>384</v>
      </c>
      <c r="T53" s="136" t="s">
        <v>384</v>
      </c>
      <c r="U53" s="136" t="s">
        <v>384</v>
      </c>
      <c r="V53" s="121"/>
      <c r="W53" s="136" t="s">
        <v>384</v>
      </c>
      <c r="X53" s="136" t="s">
        <v>384</v>
      </c>
      <c r="Y53" s="136" t="s">
        <v>384</v>
      </c>
      <c r="Z53" s="136" t="s">
        <v>384</v>
      </c>
      <c r="AA53" s="136" t="s">
        <v>384</v>
      </c>
      <c r="AB53" s="136" t="s">
        <v>384</v>
      </c>
      <c r="AC53" s="136" t="s">
        <v>384</v>
      </c>
      <c r="AD53" s="136" t="s">
        <v>384</v>
      </c>
      <c r="AE53" s="136" t="s">
        <v>384</v>
      </c>
      <c r="AF53" s="136" t="s">
        <v>384</v>
      </c>
      <c r="AG53" s="136" t="s">
        <v>384</v>
      </c>
      <c r="AH53" s="136" t="s">
        <v>384</v>
      </c>
      <c r="AI53" s="136" t="s">
        <v>384</v>
      </c>
      <c r="AJ53" s="136" t="s">
        <v>384</v>
      </c>
      <c r="AK53" s="136" t="s">
        <v>384</v>
      </c>
      <c r="AL53" s="136" t="s">
        <v>384</v>
      </c>
      <c r="AM53" s="136" t="s">
        <v>384</v>
      </c>
      <c r="AN53" s="136" t="s">
        <v>384</v>
      </c>
      <c r="AO53" s="136" t="s">
        <v>384</v>
      </c>
      <c r="AP53" s="136" t="s">
        <v>384</v>
      </c>
      <c r="AQ53" s="136" t="s">
        <v>384</v>
      </c>
      <c r="AR53" s="136" t="s">
        <v>384</v>
      </c>
      <c r="AS53" s="136" t="s">
        <v>384</v>
      </c>
      <c r="AT53" s="136" t="s">
        <v>384</v>
      </c>
      <c r="AU53" s="136" t="s">
        <v>384</v>
      </c>
      <c r="AV53" s="136" t="s">
        <v>384</v>
      </c>
      <c r="AW53" s="136" t="s">
        <v>384</v>
      </c>
      <c r="AX53" s="136" t="s">
        <v>384</v>
      </c>
      <c r="AY53" s="136" t="s">
        <v>384</v>
      </c>
      <c r="AZ53" s="85"/>
      <c r="BA53" s="136" t="s">
        <v>384</v>
      </c>
      <c r="BB53" s="136" t="s">
        <v>384</v>
      </c>
      <c r="BC53" s="136" t="s">
        <v>384</v>
      </c>
      <c r="BD53" s="136" t="s">
        <v>384</v>
      </c>
      <c r="BE53" s="127"/>
    </row>
    <row r="54" spans="1:57" ht="15.6">
      <c r="A54" s="97">
        <v>53</v>
      </c>
      <c r="B54" s="376"/>
      <c r="C54" s="374"/>
      <c r="D54" s="368"/>
      <c r="E54" s="93" t="s">
        <v>55</v>
      </c>
      <c r="F54" s="80"/>
      <c r="G54" s="80"/>
      <c r="H54" s="116" t="s">
        <v>383</v>
      </c>
      <c r="I54" s="155">
        <f t="shared" si="4"/>
        <v>0</v>
      </c>
      <c r="J54" s="156">
        <f t="shared" si="5"/>
        <v>44</v>
      </c>
      <c r="K54" s="136" t="s">
        <v>384</v>
      </c>
      <c r="L54" s="136" t="s">
        <v>384</v>
      </c>
      <c r="M54" s="136" t="s">
        <v>384</v>
      </c>
      <c r="N54" s="136" t="s">
        <v>384</v>
      </c>
      <c r="O54" s="136" t="s">
        <v>384</v>
      </c>
      <c r="P54" s="136" t="s">
        <v>384</v>
      </c>
      <c r="Q54" s="136" t="s">
        <v>384</v>
      </c>
      <c r="R54" s="136" t="s">
        <v>384</v>
      </c>
      <c r="S54" s="136" t="s">
        <v>384</v>
      </c>
      <c r="T54" s="136" t="s">
        <v>384</v>
      </c>
      <c r="U54" s="136" t="s">
        <v>384</v>
      </c>
      <c r="V54" s="121"/>
      <c r="W54" s="136" t="s">
        <v>384</v>
      </c>
      <c r="X54" s="136" t="s">
        <v>384</v>
      </c>
      <c r="Y54" s="136" t="s">
        <v>384</v>
      </c>
      <c r="Z54" s="136" t="s">
        <v>384</v>
      </c>
      <c r="AA54" s="136" t="s">
        <v>384</v>
      </c>
      <c r="AB54" s="136" t="s">
        <v>384</v>
      </c>
      <c r="AC54" s="136" t="s">
        <v>384</v>
      </c>
      <c r="AD54" s="136" t="s">
        <v>384</v>
      </c>
      <c r="AE54" s="136" t="s">
        <v>384</v>
      </c>
      <c r="AF54" s="136" t="s">
        <v>384</v>
      </c>
      <c r="AG54" s="136" t="s">
        <v>384</v>
      </c>
      <c r="AH54" s="136" t="s">
        <v>384</v>
      </c>
      <c r="AI54" s="136" t="s">
        <v>384</v>
      </c>
      <c r="AJ54" s="136" t="s">
        <v>384</v>
      </c>
      <c r="AK54" s="136" t="s">
        <v>384</v>
      </c>
      <c r="AL54" s="136" t="s">
        <v>384</v>
      </c>
      <c r="AM54" s="136" t="s">
        <v>384</v>
      </c>
      <c r="AN54" s="136" t="s">
        <v>384</v>
      </c>
      <c r="AO54" s="136" t="s">
        <v>384</v>
      </c>
      <c r="AP54" s="136" t="s">
        <v>384</v>
      </c>
      <c r="AQ54" s="136" t="s">
        <v>384</v>
      </c>
      <c r="AR54" s="136" t="s">
        <v>384</v>
      </c>
      <c r="AS54" s="136" t="s">
        <v>384</v>
      </c>
      <c r="AT54" s="136" t="s">
        <v>384</v>
      </c>
      <c r="AU54" s="136" t="s">
        <v>384</v>
      </c>
      <c r="AV54" s="136" t="s">
        <v>384</v>
      </c>
      <c r="AW54" s="136" t="s">
        <v>384</v>
      </c>
      <c r="AX54" s="136" t="s">
        <v>384</v>
      </c>
      <c r="AY54" s="136" t="s">
        <v>384</v>
      </c>
      <c r="AZ54" s="85"/>
      <c r="BA54" s="136" t="s">
        <v>384</v>
      </c>
      <c r="BB54" s="136" t="s">
        <v>384</v>
      </c>
      <c r="BC54" s="136" t="s">
        <v>384</v>
      </c>
      <c r="BD54" s="136" t="s">
        <v>384</v>
      </c>
      <c r="BE54" s="127"/>
    </row>
    <row r="55" spans="1:57" ht="15.6">
      <c r="A55" s="97">
        <v>54</v>
      </c>
      <c r="B55" s="376"/>
      <c r="C55" s="374"/>
      <c r="D55" s="368"/>
      <c r="E55" s="93" t="s">
        <v>55</v>
      </c>
      <c r="F55" s="80"/>
      <c r="G55" s="80"/>
      <c r="H55" s="116" t="s">
        <v>385</v>
      </c>
      <c r="I55" s="155">
        <f t="shared" si="4"/>
        <v>0</v>
      </c>
      <c r="J55" s="156">
        <f t="shared" si="5"/>
        <v>44</v>
      </c>
      <c r="K55" s="136" t="s">
        <v>384</v>
      </c>
      <c r="L55" s="136" t="s">
        <v>384</v>
      </c>
      <c r="M55" s="136" t="s">
        <v>384</v>
      </c>
      <c r="N55" s="136" t="s">
        <v>384</v>
      </c>
      <c r="O55" s="136" t="s">
        <v>384</v>
      </c>
      <c r="P55" s="136" t="s">
        <v>384</v>
      </c>
      <c r="Q55" s="136" t="s">
        <v>384</v>
      </c>
      <c r="R55" s="136" t="s">
        <v>384</v>
      </c>
      <c r="S55" s="136" t="s">
        <v>384</v>
      </c>
      <c r="T55" s="136" t="s">
        <v>384</v>
      </c>
      <c r="U55" s="136" t="s">
        <v>384</v>
      </c>
      <c r="V55" s="121"/>
      <c r="W55" s="136" t="s">
        <v>384</v>
      </c>
      <c r="X55" s="136" t="s">
        <v>384</v>
      </c>
      <c r="Y55" s="136" t="s">
        <v>384</v>
      </c>
      <c r="Z55" s="136" t="s">
        <v>384</v>
      </c>
      <c r="AA55" s="136" t="s">
        <v>384</v>
      </c>
      <c r="AB55" s="136" t="s">
        <v>384</v>
      </c>
      <c r="AC55" s="136" t="s">
        <v>384</v>
      </c>
      <c r="AD55" s="136" t="s">
        <v>384</v>
      </c>
      <c r="AE55" s="136" t="s">
        <v>384</v>
      </c>
      <c r="AF55" s="136" t="s">
        <v>384</v>
      </c>
      <c r="AG55" s="136" t="s">
        <v>384</v>
      </c>
      <c r="AH55" s="136" t="s">
        <v>384</v>
      </c>
      <c r="AI55" s="136" t="s">
        <v>384</v>
      </c>
      <c r="AJ55" s="136" t="s">
        <v>384</v>
      </c>
      <c r="AK55" s="136" t="s">
        <v>384</v>
      </c>
      <c r="AL55" s="136" t="s">
        <v>384</v>
      </c>
      <c r="AM55" s="136" t="s">
        <v>384</v>
      </c>
      <c r="AN55" s="136" t="s">
        <v>384</v>
      </c>
      <c r="AO55" s="136" t="s">
        <v>384</v>
      </c>
      <c r="AP55" s="136" t="s">
        <v>384</v>
      </c>
      <c r="AQ55" s="136" t="s">
        <v>384</v>
      </c>
      <c r="AR55" s="136" t="s">
        <v>384</v>
      </c>
      <c r="AS55" s="136" t="s">
        <v>384</v>
      </c>
      <c r="AT55" s="136" t="s">
        <v>384</v>
      </c>
      <c r="AU55" s="136" t="s">
        <v>384</v>
      </c>
      <c r="AV55" s="136" t="s">
        <v>384</v>
      </c>
      <c r="AW55" s="136" t="s">
        <v>384</v>
      </c>
      <c r="AX55" s="136" t="s">
        <v>384</v>
      </c>
      <c r="AY55" s="136" t="s">
        <v>384</v>
      </c>
      <c r="AZ55" s="85"/>
      <c r="BA55" s="136" t="s">
        <v>384</v>
      </c>
      <c r="BB55" s="136" t="s">
        <v>384</v>
      </c>
      <c r="BC55" s="136" t="s">
        <v>384</v>
      </c>
      <c r="BD55" s="136" t="s">
        <v>384</v>
      </c>
      <c r="BE55" s="127"/>
    </row>
    <row r="56" spans="1:57" ht="15.6">
      <c r="A56" s="97">
        <v>55</v>
      </c>
      <c r="B56" s="376"/>
      <c r="C56" s="374"/>
      <c r="D56" s="368"/>
      <c r="E56" s="93" t="s">
        <v>56</v>
      </c>
      <c r="F56" s="80"/>
      <c r="G56" s="80"/>
      <c r="H56" s="116" t="s">
        <v>383</v>
      </c>
      <c r="I56" s="155">
        <f t="shared" si="4"/>
        <v>0</v>
      </c>
      <c r="J56" s="156">
        <f t="shared" si="5"/>
        <v>44</v>
      </c>
      <c r="K56" s="136" t="s">
        <v>384</v>
      </c>
      <c r="L56" s="136" t="s">
        <v>384</v>
      </c>
      <c r="M56" s="136" t="s">
        <v>384</v>
      </c>
      <c r="N56" s="136" t="s">
        <v>384</v>
      </c>
      <c r="O56" s="136" t="s">
        <v>384</v>
      </c>
      <c r="P56" s="136" t="s">
        <v>384</v>
      </c>
      <c r="Q56" s="136" t="s">
        <v>384</v>
      </c>
      <c r="R56" s="136" t="s">
        <v>384</v>
      </c>
      <c r="S56" s="136" t="s">
        <v>384</v>
      </c>
      <c r="T56" s="136" t="s">
        <v>384</v>
      </c>
      <c r="U56" s="136" t="s">
        <v>384</v>
      </c>
      <c r="V56" s="121"/>
      <c r="W56" s="136" t="s">
        <v>384</v>
      </c>
      <c r="X56" s="136" t="s">
        <v>384</v>
      </c>
      <c r="Y56" s="136" t="s">
        <v>384</v>
      </c>
      <c r="Z56" s="136" t="s">
        <v>384</v>
      </c>
      <c r="AA56" s="136" t="s">
        <v>384</v>
      </c>
      <c r="AB56" s="136" t="s">
        <v>384</v>
      </c>
      <c r="AC56" s="136" t="s">
        <v>384</v>
      </c>
      <c r="AD56" s="136" t="s">
        <v>384</v>
      </c>
      <c r="AE56" s="136" t="s">
        <v>384</v>
      </c>
      <c r="AF56" s="136" t="s">
        <v>384</v>
      </c>
      <c r="AG56" s="136" t="s">
        <v>384</v>
      </c>
      <c r="AH56" s="136" t="s">
        <v>384</v>
      </c>
      <c r="AI56" s="136" t="s">
        <v>384</v>
      </c>
      <c r="AJ56" s="136" t="s">
        <v>384</v>
      </c>
      <c r="AK56" s="136" t="s">
        <v>384</v>
      </c>
      <c r="AL56" s="136" t="s">
        <v>384</v>
      </c>
      <c r="AM56" s="136" t="s">
        <v>384</v>
      </c>
      <c r="AN56" s="136" t="s">
        <v>384</v>
      </c>
      <c r="AO56" s="136" t="s">
        <v>384</v>
      </c>
      <c r="AP56" s="136" t="s">
        <v>384</v>
      </c>
      <c r="AQ56" s="136" t="s">
        <v>384</v>
      </c>
      <c r="AR56" s="136" t="s">
        <v>384</v>
      </c>
      <c r="AS56" s="136" t="s">
        <v>384</v>
      </c>
      <c r="AT56" s="136" t="s">
        <v>384</v>
      </c>
      <c r="AU56" s="136" t="s">
        <v>384</v>
      </c>
      <c r="AV56" s="136" t="s">
        <v>384</v>
      </c>
      <c r="AW56" s="136" t="s">
        <v>384</v>
      </c>
      <c r="AX56" s="136" t="s">
        <v>384</v>
      </c>
      <c r="AY56" s="136" t="s">
        <v>384</v>
      </c>
      <c r="AZ56" s="85"/>
      <c r="BA56" s="136" t="s">
        <v>384</v>
      </c>
      <c r="BB56" s="136" t="s">
        <v>384</v>
      </c>
      <c r="BC56" s="136" t="s">
        <v>384</v>
      </c>
      <c r="BD56" s="136" t="s">
        <v>384</v>
      </c>
      <c r="BE56" s="127"/>
    </row>
    <row r="57" spans="1:57" ht="15.6">
      <c r="A57" s="148">
        <v>56</v>
      </c>
      <c r="B57" s="377"/>
      <c r="C57" s="381"/>
      <c r="D57" s="141"/>
      <c r="E57" s="149" t="s">
        <v>56</v>
      </c>
      <c r="F57" s="141"/>
      <c r="G57" s="141"/>
      <c r="H57" s="142" t="s">
        <v>385</v>
      </c>
      <c r="I57" s="155">
        <f t="shared" si="4"/>
        <v>0</v>
      </c>
      <c r="J57" s="156">
        <f t="shared" si="5"/>
        <v>44</v>
      </c>
      <c r="K57" s="136" t="s">
        <v>384</v>
      </c>
      <c r="L57" s="136" t="s">
        <v>384</v>
      </c>
      <c r="M57" s="136" t="s">
        <v>384</v>
      </c>
      <c r="N57" s="136" t="s">
        <v>384</v>
      </c>
      <c r="O57" s="136" t="s">
        <v>384</v>
      </c>
      <c r="P57" s="136" t="s">
        <v>384</v>
      </c>
      <c r="Q57" s="136" t="s">
        <v>384</v>
      </c>
      <c r="R57" s="136" t="s">
        <v>384</v>
      </c>
      <c r="S57" s="136" t="s">
        <v>384</v>
      </c>
      <c r="T57" s="136" t="s">
        <v>384</v>
      </c>
      <c r="U57" s="136" t="s">
        <v>384</v>
      </c>
      <c r="V57" s="143"/>
      <c r="W57" s="136" t="s">
        <v>384</v>
      </c>
      <c r="X57" s="136" t="s">
        <v>384</v>
      </c>
      <c r="Y57" s="136" t="s">
        <v>384</v>
      </c>
      <c r="Z57" s="136" t="s">
        <v>384</v>
      </c>
      <c r="AA57" s="136" t="s">
        <v>384</v>
      </c>
      <c r="AB57" s="136" t="s">
        <v>384</v>
      </c>
      <c r="AC57" s="136" t="s">
        <v>384</v>
      </c>
      <c r="AD57" s="136" t="s">
        <v>384</v>
      </c>
      <c r="AE57" s="136" t="s">
        <v>384</v>
      </c>
      <c r="AF57" s="136" t="s">
        <v>384</v>
      </c>
      <c r="AG57" s="136" t="s">
        <v>384</v>
      </c>
      <c r="AH57" s="136" t="s">
        <v>384</v>
      </c>
      <c r="AI57" s="136" t="s">
        <v>384</v>
      </c>
      <c r="AJ57" s="136" t="s">
        <v>384</v>
      </c>
      <c r="AK57" s="136" t="s">
        <v>384</v>
      </c>
      <c r="AL57" s="136" t="s">
        <v>384</v>
      </c>
      <c r="AM57" s="136" t="s">
        <v>384</v>
      </c>
      <c r="AN57" s="136" t="s">
        <v>384</v>
      </c>
      <c r="AO57" s="136" t="s">
        <v>384</v>
      </c>
      <c r="AP57" s="136" t="s">
        <v>384</v>
      </c>
      <c r="AQ57" s="136" t="s">
        <v>384</v>
      </c>
      <c r="AR57" s="136" t="s">
        <v>384</v>
      </c>
      <c r="AS57" s="136" t="s">
        <v>384</v>
      </c>
      <c r="AT57" s="136" t="s">
        <v>384</v>
      </c>
      <c r="AU57" s="136" t="s">
        <v>384</v>
      </c>
      <c r="AV57" s="136" t="s">
        <v>384</v>
      </c>
      <c r="AW57" s="136" t="s">
        <v>384</v>
      </c>
      <c r="AX57" s="136" t="s">
        <v>384</v>
      </c>
      <c r="AY57" s="136" t="s">
        <v>384</v>
      </c>
      <c r="AZ57" s="138"/>
      <c r="BA57" s="136" t="s">
        <v>384</v>
      </c>
      <c r="BB57" s="136" t="s">
        <v>384</v>
      </c>
      <c r="BC57" s="136" t="s">
        <v>384</v>
      </c>
      <c r="BD57" s="136" t="s">
        <v>384</v>
      </c>
      <c r="BE57" s="144"/>
    </row>
    <row r="58" spans="1:57" ht="14.45">
      <c r="A58" s="111">
        <v>57</v>
      </c>
      <c r="B58" s="378" t="s">
        <v>97</v>
      </c>
      <c r="C58" s="382" t="s">
        <v>97</v>
      </c>
      <c r="D58" s="112"/>
      <c r="E58" s="113" t="s">
        <v>415</v>
      </c>
      <c r="F58" s="112"/>
      <c r="G58" s="112"/>
      <c r="H58" s="112"/>
      <c r="I58" s="153">
        <f t="shared" si="4"/>
        <v>0</v>
      </c>
      <c r="J58" s="154">
        <f t="shared" si="5"/>
        <v>44</v>
      </c>
      <c r="K58" s="129" t="s">
        <v>384</v>
      </c>
      <c r="L58" s="129" t="s">
        <v>384</v>
      </c>
      <c r="M58" s="129" t="s">
        <v>384</v>
      </c>
      <c r="N58" s="129" t="s">
        <v>384</v>
      </c>
      <c r="O58" s="129" t="s">
        <v>384</v>
      </c>
      <c r="P58" s="129" t="s">
        <v>384</v>
      </c>
      <c r="Q58" s="129" t="s">
        <v>384</v>
      </c>
      <c r="R58" s="129" t="s">
        <v>384</v>
      </c>
      <c r="S58" s="129" t="s">
        <v>384</v>
      </c>
      <c r="T58" s="129" t="s">
        <v>384</v>
      </c>
      <c r="U58" s="129" t="s">
        <v>384</v>
      </c>
      <c r="V58" s="130"/>
      <c r="W58" s="129" t="s">
        <v>384</v>
      </c>
      <c r="X58" s="129" t="s">
        <v>384</v>
      </c>
      <c r="Y58" s="129" t="s">
        <v>384</v>
      </c>
      <c r="Z58" s="129" t="s">
        <v>384</v>
      </c>
      <c r="AA58" s="129" t="s">
        <v>384</v>
      </c>
      <c r="AB58" s="129" t="s">
        <v>384</v>
      </c>
      <c r="AC58" s="129" t="s">
        <v>384</v>
      </c>
      <c r="AD58" s="129" t="s">
        <v>384</v>
      </c>
      <c r="AE58" s="129" t="s">
        <v>384</v>
      </c>
      <c r="AF58" s="129" t="s">
        <v>384</v>
      </c>
      <c r="AG58" s="129" t="s">
        <v>384</v>
      </c>
      <c r="AH58" s="129" t="s">
        <v>384</v>
      </c>
      <c r="AI58" s="129" t="s">
        <v>384</v>
      </c>
      <c r="AJ58" s="129" t="s">
        <v>384</v>
      </c>
      <c r="AK58" s="129" t="s">
        <v>384</v>
      </c>
      <c r="AL58" s="129" t="s">
        <v>384</v>
      </c>
      <c r="AM58" s="129" t="s">
        <v>384</v>
      </c>
      <c r="AN58" s="129" t="s">
        <v>384</v>
      </c>
      <c r="AO58" s="129" t="s">
        <v>384</v>
      </c>
      <c r="AP58" s="129" t="s">
        <v>384</v>
      </c>
      <c r="AQ58" s="129" t="s">
        <v>384</v>
      </c>
      <c r="AR58" s="129" t="s">
        <v>384</v>
      </c>
      <c r="AS58" s="129" t="s">
        <v>384</v>
      </c>
      <c r="AT58" s="129" t="s">
        <v>384</v>
      </c>
      <c r="AU58" s="129" t="s">
        <v>384</v>
      </c>
      <c r="AV58" s="129" t="s">
        <v>384</v>
      </c>
      <c r="AW58" s="129" t="s">
        <v>384</v>
      </c>
      <c r="AX58" s="129" t="s">
        <v>384</v>
      </c>
      <c r="AY58" s="129" t="s">
        <v>384</v>
      </c>
      <c r="AZ58" s="130"/>
      <c r="BA58" s="129" t="s">
        <v>384</v>
      </c>
      <c r="BB58" s="129" t="s">
        <v>384</v>
      </c>
      <c r="BC58" s="129" t="s">
        <v>384</v>
      </c>
      <c r="BD58" s="129" t="s">
        <v>384</v>
      </c>
      <c r="BE58" s="131"/>
    </row>
    <row r="59" spans="1:57" ht="15.6">
      <c r="A59" s="98">
        <v>58</v>
      </c>
      <c r="B59" s="379"/>
      <c r="C59" s="383"/>
      <c r="D59" s="146"/>
      <c r="E59" s="94" t="s">
        <v>416</v>
      </c>
      <c r="F59" s="146"/>
      <c r="G59" s="146"/>
      <c r="H59" s="146"/>
      <c r="I59" s="155">
        <f t="shared" si="4"/>
        <v>0</v>
      </c>
      <c r="J59" s="156">
        <f t="shared" si="5"/>
        <v>44</v>
      </c>
      <c r="K59" s="136" t="s">
        <v>384</v>
      </c>
      <c r="L59" s="136" t="s">
        <v>384</v>
      </c>
      <c r="M59" s="136" t="s">
        <v>384</v>
      </c>
      <c r="N59" s="136" t="s">
        <v>384</v>
      </c>
      <c r="O59" s="136" t="s">
        <v>384</v>
      </c>
      <c r="P59" s="136" t="s">
        <v>384</v>
      </c>
      <c r="Q59" s="136" t="s">
        <v>384</v>
      </c>
      <c r="R59" s="136" t="s">
        <v>384</v>
      </c>
      <c r="S59" s="136" t="s">
        <v>384</v>
      </c>
      <c r="T59" s="136" t="s">
        <v>384</v>
      </c>
      <c r="U59" s="136" t="s">
        <v>384</v>
      </c>
      <c r="V59" s="147"/>
      <c r="W59" s="136" t="s">
        <v>384</v>
      </c>
      <c r="X59" s="136" t="s">
        <v>384</v>
      </c>
      <c r="Y59" s="136" t="s">
        <v>384</v>
      </c>
      <c r="Z59" s="136" t="s">
        <v>384</v>
      </c>
      <c r="AA59" s="136" t="s">
        <v>384</v>
      </c>
      <c r="AB59" s="136" t="s">
        <v>384</v>
      </c>
      <c r="AC59" s="136" t="s">
        <v>384</v>
      </c>
      <c r="AD59" s="136" t="s">
        <v>384</v>
      </c>
      <c r="AE59" s="136" t="s">
        <v>384</v>
      </c>
      <c r="AF59" s="136" t="s">
        <v>384</v>
      </c>
      <c r="AG59" s="136" t="s">
        <v>384</v>
      </c>
      <c r="AH59" s="136" t="s">
        <v>384</v>
      </c>
      <c r="AI59" s="136" t="s">
        <v>384</v>
      </c>
      <c r="AJ59" s="136" t="s">
        <v>384</v>
      </c>
      <c r="AK59" s="136" t="s">
        <v>384</v>
      </c>
      <c r="AL59" s="136" t="s">
        <v>384</v>
      </c>
      <c r="AM59" s="136" t="s">
        <v>384</v>
      </c>
      <c r="AN59" s="136" t="s">
        <v>384</v>
      </c>
      <c r="AO59" s="136" t="s">
        <v>384</v>
      </c>
      <c r="AP59" s="136" t="s">
        <v>384</v>
      </c>
      <c r="AQ59" s="136" t="s">
        <v>384</v>
      </c>
      <c r="AR59" s="136" t="s">
        <v>384</v>
      </c>
      <c r="AS59" s="136" t="s">
        <v>384</v>
      </c>
      <c r="AT59" s="136" t="s">
        <v>384</v>
      </c>
      <c r="AU59" s="136" t="s">
        <v>384</v>
      </c>
      <c r="AV59" s="136" t="s">
        <v>384</v>
      </c>
      <c r="AW59" s="136" t="s">
        <v>384</v>
      </c>
      <c r="AX59" s="136" t="s">
        <v>384</v>
      </c>
      <c r="AY59" s="136" t="s">
        <v>384</v>
      </c>
      <c r="BA59" s="136" t="s">
        <v>384</v>
      </c>
      <c r="BB59" s="136" t="s">
        <v>384</v>
      </c>
      <c r="BC59" s="136" t="s">
        <v>384</v>
      </c>
      <c r="BD59" s="136" t="s">
        <v>384</v>
      </c>
      <c r="BE59" s="132"/>
    </row>
    <row r="60" spans="1:57" ht="14.45">
      <c r="A60" s="110">
        <v>59</v>
      </c>
      <c r="B60" s="380"/>
      <c r="C60" s="384"/>
      <c r="D60" s="95"/>
      <c r="E60" s="96" t="s">
        <v>417</v>
      </c>
      <c r="F60" s="95"/>
      <c r="G60" s="95"/>
      <c r="H60" s="95"/>
      <c r="I60" s="157">
        <f t="shared" si="4"/>
        <v>0</v>
      </c>
      <c r="J60" s="158">
        <f t="shared" si="5"/>
        <v>44</v>
      </c>
      <c r="K60" s="128" t="s">
        <v>384</v>
      </c>
      <c r="L60" s="128" t="s">
        <v>384</v>
      </c>
      <c r="M60" s="128" t="s">
        <v>384</v>
      </c>
      <c r="N60" s="128" t="s">
        <v>384</v>
      </c>
      <c r="O60" s="128" t="s">
        <v>384</v>
      </c>
      <c r="P60" s="128" t="s">
        <v>384</v>
      </c>
      <c r="Q60" s="128" t="s">
        <v>384</v>
      </c>
      <c r="R60" s="128" t="s">
        <v>384</v>
      </c>
      <c r="S60" s="128" t="s">
        <v>384</v>
      </c>
      <c r="T60" s="128" t="s">
        <v>384</v>
      </c>
      <c r="U60" s="128" t="s">
        <v>384</v>
      </c>
      <c r="V60" s="128"/>
      <c r="W60" s="128" t="s">
        <v>384</v>
      </c>
      <c r="X60" s="128" t="s">
        <v>384</v>
      </c>
      <c r="Y60" s="128" t="s">
        <v>384</v>
      </c>
      <c r="Z60" s="128" t="s">
        <v>384</v>
      </c>
      <c r="AA60" s="128" t="s">
        <v>384</v>
      </c>
      <c r="AB60" s="128" t="s">
        <v>384</v>
      </c>
      <c r="AC60" s="128" t="s">
        <v>384</v>
      </c>
      <c r="AD60" s="128" t="s">
        <v>384</v>
      </c>
      <c r="AE60" s="128" t="s">
        <v>384</v>
      </c>
      <c r="AF60" s="128" t="s">
        <v>384</v>
      </c>
      <c r="AG60" s="128" t="s">
        <v>384</v>
      </c>
      <c r="AH60" s="128" t="s">
        <v>384</v>
      </c>
      <c r="AI60" s="128" t="s">
        <v>384</v>
      </c>
      <c r="AJ60" s="128" t="s">
        <v>384</v>
      </c>
      <c r="AK60" s="128" t="s">
        <v>384</v>
      </c>
      <c r="AL60" s="128" t="s">
        <v>384</v>
      </c>
      <c r="AM60" s="128" t="s">
        <v>384</v>
      </c>
      <c r="AN60" s="128" t="s">
        <v>384</v>
      </c>
      <c r="AO60" s="128" t="s">
        <v>384</v>
      </c>
      <c r="AP60" s="128" t="s">
        <v>384</v>
      </c>
      <c r="AQ60" s="128" t="s">
        <v>384</v>
      </c>
      <c r="AR60" s="128" t="s">
        <v>384</v>
      </c>
      <c r="AS60" s="128" t="s">
        <v>384</v>
      </c>
      <c r="AT60" s="128" t="s">
        <v>384</v>
      </c>
      <c r="AU60" s="128" t="s">
        <v>384</v>
      </c>
      <c r="AV60" s="128" t="s">
        <v>384</v>
      </c>
      <c r="AW60" s="128" t="s">
        <v>384</v>
      </c>
      <c r="AX60" s="128" t="s">
        <v>384</v>
      </c>
      <c r="AY60" s="128" t="s">
        <v>384</v>
      </c>
      <c r="AZ60" s="133"/>
      <c r="BA60" s="128" t="s">
        <v>384</v>
      </c>
      <c r="BB60" s="128" t="s">
        <v>384</v>
      </c>
      <c r="BC60" s="128" t="s">
        <v>384</v>
      </c>
      <c r="BD60" s="128" t="s">
        <v>384</v>
      </c>
      <c r="BE60" s="134"/>
    </row>
    <row r="61" spans="1:57" ht="15" customHeight="1">
      <c r="I61" s="161">
        <f>SUM(I2:I60)</f>
        <v>292</v>
      </c>
      <c r="J61" s="161">
        <f>SUM(J2:J60)</f>
        <v>2304</v>
      </c>
      <c r="K61" s="162">
        <f>I61+J61</f>
        <v>2596</v>
      </c>
    </row>
    <row r="62" spans="1:57" ht="15" customHeight="1">
      <c r="I62" s="163">
        <f>I61/K61</f>
        <v>0.11248073959938366</v>
      </c>
      <c r="J62" s="163">
        <f>J61/K61</f>
        <v>0.88751926040061635</v>
      </c>
    </row>
    <row r="76" spans="11:11" ht="14.45">
      <c r="K76" s="122"/>
    </row>
  </sheetData>
  <mergeCells count="24">
    <mergeCell ref="B58:B60"/>
    <mergeCell ref="C42:C49"/>
    <mergeCell ref="C50:C57"/>
    <mergeCell ref="C58:C60"/>
    <mergeCell ref="C18:C19"/>
    <mergeCell ref="C20:C21"/>
    <mergeCell ref="C22:C23"/>
    <mergeCell ref="C24:C25"/>
    <mergeCell ref="C26:C27"/>
    <mergeCell ref="C28:C31"/>
    <mergeCell ref="D44:D48"/>
    <mergeCell ref="D50:D56"/>
    <mergeCell ref="D32:D40"/>
    <mergeCell ref="B18:B31"/>
    <mergeCell ref="C32:C41"/>
    <mergeCell ref="B32:B57"/>
    <mergeCell ref="D28:D30"/>
    <mergeCell ref="G28:G29"/>
    <mergeCell ref="C12:C13"/>
    <mergeCell ref="C14:C17"/>
    <mergeCell ref="B2:B17"/>
    <mergeCell ref="C2:C11"/>
    <mergeCell ref="D2:D11"/>
    <mergeCell ref="F13:F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615A0187905448BAF7F349DECE28D0" ma:contentTypeVersion="11" ma:contentTypeDescription="Create a new document." ma:contentTypeScope="" ma:versionID="4e6c42a87dfac45d4720023d8ae66146">
  <xsd:schema xmlns:xsd="http://www.w3.org/2001/XMLSchema" xmlns:xs="http://www.w3.org/2001/XMLSchema" xmlns:p="http://schemas.microsoft.com/office/2006/metadata/properties" xmlns:ns2="107e4d51-a63a-4038-8510-ca94452c332b" targetNamespace="http://schemas.microsoft.com/office/2006/metadata/properties" ma:root="true" ma:fieldsID="a009fac21259b4b088cf0cf6d50715bf" ns2:_="">
    <xsd:import namespace="107e4d51-a63a-4038-8510-ca94452c33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ssageID" minOccurs="0"/>
                <xsd:element ref="ns2:Received" minOccurs="0"/>
                <xsd:element ref="ns2:FromName" minOccurs="0"/>
                <xsd:element ref="ns2:FromEmail" minOccurs="0"/>
                <xsd:element ref="ns2:Body" minOccurs="0"/>
                <xsd:element ref="ns2:Importance" minOccurs="0"/>
                <xsd:element ref="ns2:Importanc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e4d51-a63a-4038-8510-ca94452c33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ssageID" ma:index="11" nillable="true" ma:displayName="Message ID" ma:format="Dropdown" ma:internalName="MessageID">
      <xsd:simpleType>
        <xsd:restriction base="dms:Text">
          <xsd:maxLength value="255"/>
        </xsd:restriction>
      </xsd:simpleType>
    </xsd:element>
    <xsd:element name="Received" ma:index="12" nillable="true" ma:displayName="Received" ma:format="DateOnly" ma:internalName="Received">
      <xsd:simpleType>
        <xsd:restriction base="dms:DateTime"/>
      </xsd:simpleType>
    </xsd:element>
    <xsd:element name="FromName" ma:index="13" nillable="true" ma:displayName="FromName" ma:format="Dropdown" ma:internalName="FromName">
      <xsd:simpleType>
        <xsd:restriction base="dms:Text">
          <xsd:maxLength value="255"/>
        </xsd:restriction>
      </xsd:simpleType>
    </xsd:element>
    <xsd:element name="FromEmail" ma:index="14" nillable="true" ma:displayName="FromEmail" ma:format="Dropdown" ma:internalName="FromEmail">
      <xsd:simpleType>
        <xsd:restriction base="dms:Text">
          <xsd:maxLength value="255"/>
        </xsd:restriction>
      </xsd:simpleType>
    </xsd:element>
    <xsd:element name="Body" ma:index="16" nillable="true" ma:displayName="Body" ma:format="Dropdown" ma:internalName="Body">
      <xsd:simpleType>
        <xsd:restriction base="dms:Text">
          <xsd:maxLength value="255"/>
        </xsd:restriction>
      </xsd:simpleType>
    </xsd:element>
    <xsd:element name="Importance" ma:index="17" nillable="true" ma:displayName="Imported" ma:format="Dropdown" ma:internalName="Importance">
      <xsd:simpleType>
        <xsd:restriction base="dms:Choice">
          <xsd:enumeration value="Yes"/>
          <xsd:enumeration value="No"/>
        </xsd:restriction>
      </xsd:simpleType>
    </xsd:element>
    <xsd:element name="Importance0" ma:index="18" nillable="true" ma:displayName="Importance" ma:format="Dropdown" ma:internalName="Importance0">
      <xsd:simpleType>
        <xsd:restriction base="dms:Choice">
          <xsd:enumeration value="Choice 1"/>
          <xsd:enumeration value="Choice 2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15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eived xmlns="107e4d51-a63a-4038-8510-ca94452c332b" xsi:nil="true"/>
    <Importance xmlns="107e4d51-a63a-4038-8510-ca94452c332b" xsi:nil="true"/>
    <FromName xmlns="107e4d51-a63a-4038-8510-ca94452c332b" xsi:nil="true"/>
    <FromEmail xmlns="107e4d51-a63a-4038-8510-ca94452c332b" xsi:nil="true"/>
    <Importance0 xmlns="107e4d51-a63a-4038-8510-ca94452c332b" xsi:nil="true"/>
    <MessageID xmlns="107e4d51-a63a-4038-8510-ca94452c332b" xsi:nil="true"/>
    <Body xmlns="107e4d51-a63a-4038-8510-ca94452c332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A1E15-F2CB-4AF1-B0F0-B1440FB01A00}"/>
</file>

<file path=customXml/itemProps2.xml><?xml version="1.0" encoding="utf-8"?>
<ds:datastoreItem xmlns:ds="http://schemas.openxmlformats.org/officeDocument/2006/customXml" ds:itemID="{720A7C16-A73A-4499-8DD7-3A27834EDE32}"/>
</file>

<file path=customXml/itemProps3.xml><?xml version="1.0" encoding="utf-8"?>
<ds:datastoreItem xmlns:ds="http://schemas.openxmlformats.org/officeDocument/2006/customXml" ds:itemID="{65409F19-49E7-4529-8F8E-7D4CFFE2B5D4}"/>
</file>

<file path=docMetadata/LabelInfo.xml><?xml version="1.0" encoding="utf-8"?>
<clbl:labelList xmlns:clbl="http://schemas.microsoft.com/office/2020/mipLabelMetadata">
  <clbl:label id="{2e887d50-8227-451a-aa82-01efe35babb5}" enabled="1" method="Standard" siteId="{e6f978e1-75d4-4db0-904e-5b79fb7785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Joydeep Gochait</dc:creator>
  <cp:keywords/>
  <dc:description/>
  <cp:lastModifiedBy/>
  <cp:revision/>
  <dcterms:created xsi:type="dcterms:W3CDTF">2026-05-19T14:35:02Z</dcterms:created>
  <dcterms:modified xsi:type="dcterms:W3CDTF">2026-09-28T16:53:22Z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0x010100C5615A0187905448BAF7F349DECE28D0</vt:lpwstr>
  </property>
  <property fmtid="{D5CDD505-2E9C-101B-9397-08002B2CF9AE}" pid="3" name="MSIP_Label_9043f10a-881e-4653-a55e-02ca2cc829dc_Enabled">
    <vt:lpwstr>true</vt:lpwstr>
  </property>
  <property fmtid="{D5CDD505-2E9C-101B-9397-08002B2CF9AE}" pid="4" name="MSIP_Label_9043f10a-881e-4653-a55e-02ca2cc829dc_SetDate">
    <vt:lpwstr>2026-07-21T13:38:04Z</vt:lpwstr>
  </property>
  <property fmtid="{D5CDD505-2E9C-101B-9397-08002B2CF9AE}" pid="5" name="MSIP_Label_9043f10a-881e-4653-a55e-02ca2cc829dc_Method">
    <vt:lpwstr>Standard</vt:lpwstr>
  </property>
  <property fmtid="{D5CDD505-2E9C-101B-9397-08002B2CF9AE}" pid="6" name="MSIP_Label_9043f10a-881e-4653-a55e-02ca2cc829dc_Name">
    <vt:lpwstr>ADC_class_200</vt:lpwstr>
  </property>
  <property fmtid="{D5CDD505-2E9C-101B-9397-08002B2CF9AE}" pid="7" name="MSIP_Label_9043f10a-881e-4653-a55e-02ca2cc829dc_SiteId">
    <vt:lpwstr>94cfddbc-0627-494a-ad7a-29aea3aea832</vt:lpwstr>
  </property>
  <property fmtid="{D5CDD505-2E9C-101B-9397-08002B2CF9AE}" pid="8" name="MSIP_Label_9043f10a-881e-4653-a55e-02ca2cc829dc_ActionId">
    <vt:lpwstr>c09a474d-e526-4482-b917-6350cb35ddc4</vt:lpwstr>
  </property>
  <property fmtid="{D5CDD505-2E9C-101B-9397-08002B2CF9AE}" pid="9" name="MSIP_Label_9043f10a-881e-4653-a55e-02ca2cc829dc_ContentBits">
    <vt:lpwstr>0</vt:lpwstr>
  </property>
  <property fmtid="{D5CDD505-2E9C-101B-9397-08002B2CF9AE}" pid="10" name="MSIP_Label_9043f10a-881e-4653-a55e-02ca2cc829dc_Tag">
    <vt:lpwstr>10, 3, 0, 2</vt:lpwstr>
  </property>
</Properties>
</file>