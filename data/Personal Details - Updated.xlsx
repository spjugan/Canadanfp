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.aon.net/personal/jugan_s_p_aon_com/Documents/Canada Leadership/Employees Database/Dashboard/Employee_Skills_Dashboard_Source/data/"/>
    </mc:Choice>
  </mc:AlternateContent>
  <xr:revisionPtr revIDLastSave="485" documentId="14_{AD97968A-14A2-4CAE-BDAB-3050FF149ED2}" xr6:coauthVersionLast="47" xr6:coauthVersionMax="47" xr10:uidLastSave="{E6A73DB5-7EC5-4027-AF2D-AA57C7CDAEBB}"/>
  <bookViews>
    <workbookView xWindow="-110" yWindow="-110" windowWidth="19420" windowHeight="11500" xr2:uid="{00000000-000D-0000-FFFF-FFFF00000000}"/>
  </bookViews>
  <sheets>
    <sheet name="Database" sheetId="4" r:id="rId1"/>
    <sheet name="Employee Contacts" sheetId="1" state="hidden" r:id="rId2"/>
    <sheet name="Employee Detail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4" l="1"/>
  <c r="H60" i="4"/>
  <c r="Y60" i="4"/>
  <c r="G59" i="4"/>
  <c r="H59" i="4"/>
  <c r="Y59" i="4"/>
  <c r="G58" i="4"/>
  <c r="H58" i="4"/>
  <c r="Y58" i="4"/>
  <c r="G57" i="4"/>
  <c r="H57" i="4"/>
  <c r="Y57" i="4"/>
  <c r="G56" i="4"/>
  <c r="H56" i="4"/>
  <c r="Y56" i="4"/>
  <c r="G55" i="4"/>
  <c r="H55" i="4"/>
  <c r="Y55" i="4"/>
  <c r="G54" i="4"/>
  <c r="H54" i="4"/>
  <c r="Y54" i="4"/>
  <c r="G53" i="4"/>
  <c r="H53" i="4"/>
  <c r="Y53" i="4"/>
  <c r="G52" i="4"/>
  <c r="H52" i="4"/>
  <c r="Y52" i="4"/>
  <c r="G51" i="4"/>
  <c r="H51" i="4"/>
  <c r="Y51" i="4"/>
  <c r="G50" i="4"/>
  <c r="H50" i="4"/>
  <c r="Y50" i="4"/>
  <c r="G49" i="4"/>
  <c r="H49" i="4"/>
  <c r="Y49" i="4"/>
  <c r="Y41" i="4"/>
  <c r="Y42" i="4"/>
  <c r="Y43" i="4"/>
  <c r="Y44" i="4"/>
  <c r="Y45" i="4"/>
  <c r="Y46" i="4"/>
  <c r="Y47" i="4"/>
  <c r="Y48" i="4"/>
  <c r="G41" i="4"/>
  <c r="G42" i="4"/>
  <c r="G43" i="4"/>
  <c r="G44" i="4"/>
  <c r="G45" i="4"/>
  <c r="G46" i="4"/>
  <c r="G47" i="4"/>
  <c r="G48" i="4"/>
  <c r="H41" i="4"/>
  <c r="H42" i="4"/>
  <c r="H43" i="4"/>
  <c r="H44" i="4"/>
  <c r="H45" i="4"/>
  <c r="H46" i="4"/>
  <c r="H47" i="4"/>
  <c r="H48" i="4"/>
  <c r="Y2" i="4" l="1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<sst xmlns="http://schemas.openxmlformats.org/spreadsheetml/2006/main" count="1627" uniqueCount="419">
  <si>
    <t>Sl. No.</t>
  </si>
  <si>
    <t>A0913359</t>
  </si>
  <si>
    <t>Sainatha B</t>
  </si>
  <si>
    <t>A0912036</t>
  </si>
  <si>
    <t>Shaik Ahamed M</t>
  </si>
  <si>
    <t>A0912438</t>
  </si>
  <si>
    <t>B Vinodh</t>
  </si>
  <si>
    <t>A0910983</t>
  </si>
  <si>
    <t>Saravana V</t>
  </si>
  <si>
    <t>A0911100</t>
  </si>
  <si>
    <t>Sushmitha CS</t>
  </si>
  <si>
    <t>A0911089</t>
  </si>
  <si>
    <t>Abhilash Beere</t>
  </si>
  <si>
    <t>A0911119</t>
  </si>
  <si>
    <t>Nehashree N</t>
  </si>
  <si>
    <t>A0911158</t>
  </si>
  <si>
    <t>Gummanayakapalya Pooja Sri</t>
  </si>
  <si>
    <t>A0911148</t>
  </si>
  <si>
    <t>Dinesh Kumar Srinivasan</t>
  </si>
  <si>
    <t>A0911139</t>
  </si>
  <si>
    <t>Abhishek S</t>
  </si>
  <si>
    <t>A0910993</t>
  </si>
  <si>
    <t>Sudarshan P</t>
  </si>
  <si>
    <t>A0911057</t>
  </si>
  <si>
    <t>Alva Shaileshkumar Vishwanath</t>
  </si>
  <si>
    <t>A0911147</t>
  </si>
  <si>
    <t>Santhosh A</t>
  </si>
  <si>
    <t>A0910985</t>
  </si>
  <si>
    <t>Manish Kumar. R</t>
  </si>
  <si>
    <t>A0865247</t>
  </si>
  <si>
    <t>Ankit Chhabadiya</t>
  </si>
  <si>
    <t>A0911599</t>
  </si>
  <si>
    <t>Syed Riyazudeen</t>
  </si>
  <si>
    <t>A0911039</t>
  </si>
  <si>
    <t>Murali K</t>
  </si>
  <si>
    <t>A0910979</t>
  </si>
  <si>
    <t>Bhavya Mishra</t>
  </si>
  <si>
    <t>A0910986</t>
  </si>
  <si>
    <t>Nithin A</t>
  </si>
  <si>
    <t>A0910987</t>
  </si>
  <si>
    <t>Sharath B.A</t>
  </si>
  <si>
    <t>A0911137</t>
  </si>
  <si>
    <t>Allwyn Thomas Easow</t>
  </si>
  <si>
    <t>A0911105</t>
  </si>
  <si>
    <t>Nisarga S P</t>
  </si>
  <si>
    <t>A0911308</t>
  </si>
  <si>
    <t>Rekha Bennur</t>
  </si>
  <si>
    <t>A0910984</t>
  </si>
  <si>
    <t>Vinutha Shree MR</t>
  </si>
  <si>
    <t>A0911589</t>
  </si>
  <si>
    <t>Chaithra S</t>
  </si>
  <si>
    <t>A0911654</t>
  </si>
  <si>
    <t>Nisha N</t>
  </si>
  <si>
    <t>A0911413</t>
  </si>
  <si>
    <t>Ramesha H K</t>
  </si>
  <si>
    <t>A0911307</t>
  </si>
  <si>
    <t>Shalini k</t>
  </si>
  <si>
    <t>A0911221</t>
  </si>
  <si>
    <t>Pooja C P</t>
  </si>
  <si>
    <t>A0911591</t>
  </si>
  <si>
    <t>Divya D</t>
  </si>
  <si>
    <t>A0906974</t>
  </si>
  <si>
    <t>Jugan S P</t>
  </si>
  <si>
    <t>A0911600</t>
  </si>
  <si>
    <t>Samrin Shaikh</t>
  </si>
  <si>
    <t>Shaik Faizoon</t>
  </si>
  <si>
    <t>Employee Name</t>
  </si>
  <si>
    <t>AON ID</t>
  </si>
  <si>
    <t>NA</t>
  </si>
  <si>
    <t>Mobile Number</t>
  </si>
  <si>
    <t>Your Alternate Mobile Number</t>
  </si>
  <si>
    <t>Select your reporting Manager</t>
  </si>
  <si>
    <t>Kavan N S</t>
  </si>
  <si>
    <t>Wife</t>
  </si>
  <si>
    <t>Spouse</t>
  </si>
  <si>
    <t>Mother</t>
  </si>
  <si>
    <t>Brother</t>
  </si>
  <si>
    <t>Husband</t>
  </si>
  <si>
    <t>Father</t>
  </si>
  <si>
    <t>Aunt</t>
  </si>
  <si>
    <t>Sibling</t>
  </si>
  <si>
    <t>Sister</t>
  </si>
  <si>
    <t>Your Emergency Contact Number</t>
  </si>
  <si>
    <t>Relationship of emergency contact person</t>
  </si>
  <si>
    <t>Your Personal email ID</t>
  </si>
  <si>
    <t>sainath.simha@gmail.com</t>
  </si>
  <si>
    <t>shaikahamed1009@gmail.com</t>
  </si>
  <si>
    <t>vinodhbhoopalan@gmail.com</t>
  </si>
  <si>
    <t>vsaravana800@gmail.com</t>
  </si>
  <si>
    <t>cssushmitha0@gmail.com</t>
  </si>
  <si>
    <t>abhilashbeere@gmail.com</t>
  </si>
  <si>
    <t>Nehashreenayak2013@gmail.com</t>
  </si>
  <si>
    <t>g.n.poojasri@gmail.com</t>
  </si>
  <si>
    <t>ksdaamec@gmail.com</t>
  </si>
  <si>
    <t>abhi.gowda.randy@gmail.com</t>
  </si>
  <si>
    <t>Sudii17shetty@gmail.com</t>
  </si>
  <si>
    <t>shaileshalva006@gmail.com</t>
  </si>
  <si>
    <t>santhosha501114@gmail.com</t>
  </si>
  <si>
    <t>manimanish69@gmail.com</t>
  </si>
  <si>
    <t>Ankit.chhabadiya@gmail.com</t>
  </si>
  <si>
    <t>msriyaz@gmail.com</t>
  </si>
  <si>
    <t>Muralikrishnamanu99@gmail.com</t>
  </si>
  <si>
    <t>bhavyamishra321@gmail.com</t>
  </si>
  <si>
    <t>nithinjoe27@gmail.com</t>
  </si>
  <si>
    <t>Sharathsharu5117@gmail.com</t>
  </si>
  <si>
    <t>allwynthomaseasow96@gmail.com</t>
  </si>
  <si>
    <t>nisargaammu28@gmail.com</t>
  </si>
  <si>
    <t>rlbennur45@gmail.com</t>
  </si>
  <si>
    <t>vinuvinutha082000@gmail.com</t>
  </si>
  <si>
    <t>chaithra.srinivasanaidu@gmail.com</t>
  </si>
  <si>
    <t>nishanagarajkharvi@gmail.com</t>
  </si>
  <si>
    <t>rhk10573@gmail.com</t>
  </si>
  <si>
    <t>shalini.krishnajiraom@gmail.com</t>
  </si>
  <si>
    <t>cppooja99@gmail.com</t>
  </si>
  <si>
    <t>divyadevakumar2025@gmail.com</t>
  </si>
  <si>
    <t>spjugan.81@gmail.com</t>
  </si>
  <si>
    <t>Shaikh.samrin1026@gmail.com</t>
  </si>
  <si>
    <t>shaikfazioon7866@gmail.com</t>
  </si>
  <si>
    <t>Your DOB</t>
  </si>
  <si>
    <t>28-Dec-00</t>
  </si>
  <si>
    <t>15-Jul-98</t>
  </si>
  <si>
    <t>21-Oct-96</t>
  </si>
  <si>
    <t>17-Mar-96</t>
  </si>
  <si>
    <t>01-Jun-97</t>
  </si>
  <si>
    <t>19-Jan-97</t>
  </si>
  <si>
    <t>04-May-80</t>
  </si>
  <si>
    <t>16-May-99</t>
  </si>
  <si>
    <t>19-Mar-00</t>
  </si>
  <si>
    <t>27-Mar-94</t>
  </si>
  <si>
    <t>30-Jul-96</t>
  </si>
  <si>
    <t>23-Dec-96</t>
  </si>
  <si>
    <t>05-Sep-00</t>
  </si>
  <si>
    <t>07-Jan-97</t>
  </si>
  <si>
    <t>04-Aug-00</t>
  </si>
  <si>
    <t>07-Dec-00</t>
  </si>
  <si>
    <t>17-Feb-01</t>
  </si>
  <si>
    <t>04-May-93</t>
  </si>
  <si>
    <t>10-Mar-94</t>
  </si>
  <si>
    <t>04-Feb-99</t>
  </si>
  <si>
    <t>02-Nov-98</t>
  </si>
  <si>
    <t>30-Dec-81</t>
  </si>
  <si>
    <t>05-Jan-00</t>
  </si>
  <si>
    <t>16-Jun-99</t>
  </si>
  <si>
    <t>A0911042</t>
  </si>
  <si>
    <t>A0910980</t>
  </si>
  <si>
    <t>Mohammed Waseem</t>
  </si>
  <si>
    <t>mohammedwaseem32@yahoo.in</t>
  </si>
  <si>
    <t>Current Address</t>
  </si>
  <si>
    <t>Permanent Address</t>
  </si>
  <si>
    <t>Hassain Building,4th floor, Muneshwara Layout, Behind SN Hospital, Avalahalli, Bangalore - 560049</t>
  </si>
  <si>
    <t>174, First Floor, 7th Cross, ITC Colony, Jeevanahalli, Bangalore - 560005</t>
  </si>
  <si>
    <t>#65, 1st Cross Hosbal Nagar, N Murthy layout, Singapura, Vidhyaranyapura post, Bangalore - 560097</t>
  </si>
  <si>
    <t>#1669, 2nd cross kammashama layout, oldtown yelahanka, bangalore-560064</t>
  </si>
  <si>
    <t>No 8, Pruthvi Residency, 2nd cross ISRO Layout, Kumaraswamy layout 560078</t>
  </si>
  <si>
    <t>Medha Sri Co-Live PG, Chinnapanahalli, 560037</t>
  </si>
  <si>
    <t>#301, Sri Sai Signatures, 1st cross, 8th main, Hoysala Nagar, Ramamurthy Nagar, Bengaluru-560016</t>
  </si>
  <si>
    <t>Sri venkateshwara pg for ladies, 5th cross, kundalahalli colony - opposite to balaji clinic - 560037</t>
  </si>
  <si>
    <t>22, 2nd Main Rd, A Narayanapura, Udaya Nagar, Dooravani Nagar, Bengaluru, Karnataka 560016</t>
  </si>
  <si>
    <t>#116, Sheshadri Nagar, Vigneshwara Layout, Bagalakunte, Nagasandra Post, Bengaluru- 560073.</t>
  </si>
  <si>
    <t>No 11, Dwaraka road, Nisarga layout 2nd phase Abbigere Bangalore 560090</t>
  </si>
  <si>
    <t>S7, 2nd Floor, Murugan Building, Murugan Building road, Varthur Kodi, Palm Meadows, Bangaluru, 560066</t>
  </si>
  <si>
    <t>#191, Opp. to Dropathyamman Temple, Vidyanagar Cross, KIA Airport Road, Bangalore North - 562157</t>
  </si>
  <si>
    <t>#70/21 7th Main Road Meenakshinagar Kamakshipalya Banagalore - 560079</t>
  </si>
  <si>
    <t>Unit 208 KOTS Urbain, 195, 3A Cross Rd, Varadappa Layout, Thigalarapalya, Krishnarajapuram, Bengaluru, Karnataka 560048</t>
  </si>
  <si>
    <t>Lakshmi PG for Gents, Near Canara Bank, Hosur Main Road, Madiwala, Bengaluru - 560068</t>
  </si>
  <si>
    <t>#36 ,Anjaneya temple road, K. Narayanapura, near government hospital , kothanur 560077</t>
  </si>
  <si>
    <t>654/A,1st floor 2nd block Sampigehalli Agrahara main road near cars 24 bangalore-560064</t>
  </si>
  <si>
    <t>No. 28/3 Tank bund road kanakadasa layout, lingrajapuram bangalore 560084</t>
  </si>
  <si>
    <t>#410, Near Anjaneyaswami temple Bettahalasur Yelahanka taluk Bengaluru - 562157</t>
  </si>
  <si>
    <t>BroFlats Lavish, No 26, Udaya Enclave, White Garden, GJM Layout, Immadihalli Main Rd, Channasandra, Whitefield, Bengaluru, Karnataka, 560066</t>
  </si>
  <si>
    <t>#220, 2nd main road, near Jai Maruthi Hospital, Hegganahalli, Bengaluru-91</t>
  </si>
  <si>
    <t>KNC Apartment, JC Nagar, Stage 2 Maruthi Nagar, Bangalore 560086</t>
  </si>
  <si>
    <t>#14" Shree Lakshmi Nilaya" 8th cross Agrahara Dasarahalli Magadi Main Road -Bangalore-560079</t>
  </si>
  <si>
    <t>#110 C Block Saranya Sannidhi Kaithota Road Immadihalli Whitefield Bangalore 560066</t>
  </si>
  <si>
    <t>#162, SK Homes, SLV PG, 4th Cross road, Kundalahalli Colony, Brookfield, Bangalore - 560037</t>
  </si>
  <si>
    <t>9th main, 35th Cross, Narasimhaswami Layout, Nandini Layout, Bangalore - 560096</t>
  </si>
  <si>
    <t>#201, MR Residency, 2nd Main Road , Gururaj Layout, vibhuthipura extension, Doddanekundi, bengaluru - 560037</t>
  </si>
  <si>
    <t>JV Nilaya, Next to Aradhana Bekary, B Narayanapura rd, kamadhenu Nagara, Krishnarajapuram, Bengaluru Karnataka 560016</t>
  </si>
  <si>
    <t>SNS Reddy Ladies PG, 6th cross road, opposite to Brigade IRV Centre, Nallurahalli, Whitefield, Bangalore- 560066</t>
  </si>
  <si>
    <t>No. 492, 17th Cross, 1st Block, Vishwapriya Nagar, Begur, Bengaluru - 560068</t>
  </si>
  <si>
    <t>306/24 Beth Abi, 3rd floor, near Shiva Nursing Home, opposite Kunguma Tyre Puncher shop; Lakkasandra, Chinnayanpalya Wilson Garden, Bengaluru, Karnataka - 560030</t>
  </si>
  <si>
    <t>257, 6th Cross Rd, Gokula Layout, Krishnarajapuram, Bengaluru, Karnataka 560036</t>
  </si>
  <si>
    <t>FA Manzil, No 88 7th Cross Gandhinagar, Shampur main Road Bangalore 560045</t>
  </si>
  <si>
    <t>3/543-1, VKV Homes, NGGO Colony, Ashokapuram PO, Coimbatore - 641022</t>
  </si>
  <si>
    <t>Skandanshi Green County, Plot No-24, Syndicate Nagar, Anantapur, 515004</t>
  </si>
  <si>
    <t>1-9-213/1, opp to Aashirvad Apartments, Ramnagar, Hyderabad - 500020</t>
  </si>
  <si>
    <t>46, Abimutheeswar East Street, Kumbakonam - 612001.</t>
  </si>
  <si>
    <t>1-227/2/1, Laxmi House, Near Vishnu Murthy Temple, Kotekar, Mangalore, 575022</t>
  </si>
  <si>
    <t>Vijay bhavan, subash nagar, shastri ward, Sagar, Madhya Pradesh 470002</t>
  </si>
  <si>
    <t>30/B45 Rani Anna Nagar, Chinnathirupathy, Salem - 636008</t>
  </si>
  <si>
    <t>H NO-38,Gram-Nonia Chappar ,Post- Babu ka Badhara, Uttar Pradesh Deoria-274001</t>
  </si>
  <si>
    <t>Machucadu House, Managanam P.O Kottayam, 686018</t>
  </si>
  <si>
    <t>Jadeya at post, Mayasandra Hobli, Turuvekere Taluk, Tumkur District, Karnataka, 572221</t>
  </si>
  <si>
    <t>Rekha Bennur, D/O Laxman Bennur, Hosanagar, Ranibennur, Haveri Dist, Karnataka.</t>
  </si>
  <si>
    <t>#193 Potar Puttamma street Old KEB Office Road Near Eshwara Temple kadugodi 560067</t>
  </si>
  <si>
    <t>Shri Shantha Murthi, Near Post card on the Arabian sea, Kanchugodu, Kundapura Tq, Udupi dist - 576247</t>
  </si>
  <si>
    <t>Hulikal Village, Doddamagge Hobli, Arakalgud Talluq, Hassan Dist - 573142</t>
  </si>
  <si>
    <t>10/19, Pattalamman Temple street, Kelamangalam, Tamil Nadu - 635113</t>
  </si>
  <si>
    <t>Behind Okkaligara Hostel, tinker babau Garage road, Neharu nagara, Vijayapura Chikmagalur 577101</t>
  </si>
  <si>
    <t>3772, Venkataramanappa Garadi Line, Taluk Office Road cross, Doddaballapur, Bangalore- 561203</t>
  </si>
  <si>
    <t>119, M.E. Sarang Marg ,Jhanda Gali ,Dongri ,Dadani Imran Manzil,4th floor , room no 30 , Mumbai - 400003</t>
  </si>
  <si>
    <t>1-90-1, ALLUGUNDU, VTC: Allugundu, PO: Kowlepalli, Sub District: Nallacheruvu, District: Ananthapuramu, State: Andhra Pradesh, PIN Code: 515591</t>
  </si>
  <si>
    <t>Name</t>
  </si>
  <si>
    <t>Designation</t>
  </si>
  <si>
    <t>Date of Joining</t>
  </si>
  <si>
    <t>Date of Birth</t>
  </si>
  <si>
    <t>Month of Birth</t>
  </si>
  <si>
    <t>Team</t>
  </si>
  <si>
    <t>LOB</t>
  </si>
  <si>
    <t>Transport Request</t>
  </si>
  <si>
    <t>Official Email ID</t>
  </si>
  <si>
    <t>Xpress Access</t>
  </si>
  <si>
    <t>Emma (DMI)</t>
  </si>
  <si>
    <t>Address</t>
  </si>
  <si>
    <t>Contact Number</t>
  </si>
  <si>
    <t>A0911584</t>
  </si>
  <si>
    <t>Himanshu Lohani</t>
  </si>
  <si>
    <t>Gr. Manager - 5.1</t>
  </si>
  <si>
    <t>Canada</t>
  </si>
  <si>
    <t>AON Canada</t>
  </si>
  <si>
    <t>Yes</t>
  </si>
  <si>
    <t>himanshu.lohani@aon.com</t>
  </si>
  <si>
    <t>SHARATH B.A</t>
  </si>
  <si>
    <t>Analyst II - 8.2</t>
  </si>
  <si>
    <t>C &amp; I</t>
  </si>
  <si>
    <t xml:space="preserve">sharath.b.a@aon.com </t>
  </si>
  <si>
    <t>allwyn.thomas.easow@aon.com</t>
  </si>
  <si>
    <t xml:space="preserve">A0911039 </t>
  </si>
  <si>
    <t xml:space="preserve">murali.k@aon.com </t>
  </si>
  <si>
    <t xml:space="preserve">A0911119 </t>
  </si>
  <si>
    <t>Consultant I - 7.1</t>
  </si>
  <si>
    <t xml:space="preserve">nehashree.n@aon.com </t>
  </si>
  <si>
    <t>divya.d1@aon.com</t>
  </si>
  <si>
    <t>A0906484</t>
  </si>
  <si>
    <t>Manager</t>
  </si>
  <si>
    <t>General Practice</t>
  </si>
  <si>
    <t>kavan.n.s@aon.com</t>
  </si>
  <si>
    <t>ankit.chhabadiya@aon.com</t>
  </si>
  <si>
    <t xml:space="preserve">saravana.v@aon.com </t>
  </si>
  <si>
    <t>Vinutha shree M R</t>
  </si>
  <si>
    <t>Analyst I - 8.1</t>
  </si>
  <si>
    <t>vinutha.shree.m.r@aon.com</t>
  </si>
  <si>
    <t>Manish Kumar R</t>
  </si>
  <si>
    <t>manish.kumar.r@aon.com</t>
  </si>
  <si>
    <t>Bhavya.mishra1@aon.com</t>
  </si>
  <si>
    <t xml:space="preserve">A0911139 </t>
  </si>
  <si>
    <t>abhishek.s@aon.com</t>
  </si>
  <si>
    <t>Consultant II - 7.2</t>
  </si>
  <si>
    <t xml:space="preserve">dinesh.kumar.srinivasan@aon.com </t>
  </si>
  <si>
    <t>gummanayakapalya.pooja.sri@aon.com</t>
  </si>
  <si>
    <t xml:space="preserve">A0911042 </t>
  </si>
  <si>
    <t>shaik.faizoon@aon.com</t>
  </si>
  <si>
    <t>Sushmitha C S</t>
  </si>
  <si>
    <t>sushmitha.c.s@aon.com</t>
  </si>
  <si>
    <t xml:space="preserve">A0911104 </t>
  </si>
  <si>
    <t>Srushti H S</t>
  </si>
  <si>
    <t xml:space="preserve">srushti.h.s@aon.com </t>
  </si>
  <si>
    <t xml:space="preserve">A0911105 </t>
  </si>
  <si>
    <t xml:space="preserve">nisarga.s.p@aon.com </t>
  </si>
  <si>
    <t>A0911107</t>
  </si>
  <si>
    <t>Vinod Kumar N</t>
  </si>
  <si>
    <t>vinod.kumar.n@aon.com</t>
  </si>
  <si>
    <t xml:space="preserve">A0911147 </t>
  </si>
  <si>
    <t xml:space="preserve">santhosh.a@aon.com </t>
  </si>
  <si>
    <t>pooja.c.p@aon.com</t>
  </si>
  <si>
    <t>Rekha Laxman Bennur</t>
  </si>
  <si>
    <t>rekha.laxman.bennur@aon.com</t>
  </si>
  <si>
    <t>chaithra.s1@aon.com</t>
  </si>
  <si>
    <t xml:space="preserve">A0911599 </t>
  </si>
  <si>
    <t xml:space="preserve">Syed Riyazudeen </t>
  </si>
  <si>
    <t xml:space="preserve">syed.riyazudeen@aon.com </t>
  </si>
  <si>
    <t xml:space="preserve">A0911600 </t>
  </si>
  <si>
    <t xml:space="preserve">Samrin Mohammed Ilyas Shaikh </t>
  </si>
  <si>
    <t xml:space="preserve">samrin.mohammed.ilyas.shaikh@aon.com </t>
  </si>
  <si>
    <t xml:space="preserve">A0911601 </t>
  </si>
  <si>
    <t xml:space="preserve">Santosh Kumar Peddinti </t>
  </si>
  <si>
    <t xml:space="preserve">santosh.kumar.peddinti@aon.com </t>
  </si>
  <si>
    <t xml:space="preserve">A0910980 </t>
  </si>
  <si>
    <t>Linx</t>
  </si>
  <si>
    <t xml:space="preserve">mohammed.waseem@aon.com </t>
  </si>
  <si>
    <t>Shalini K</t>
  </si>
  <si>
    <t>shalini.k@aon.com</t>
  </si>
  <si>
    <t>nisha.n@aon.com</t>
  </si>
  <si>
    <t xml:space="preserve">A0912438 </t>
  </si>
  <si>
    <t>Vinod Bhoopalan</t>
  </si>
  <si>
    <t>vinodh.b@aon.com</t>
  </si>
  <si>
    <t>sainatha.b@aon.com</t>
  </si>
  <si>
    <t>No</t>
  </si>
  <si>
    <t>Surety</t>
  </si>
  <si>
    <t>nithin.a1@aon.com</t>
  </si>
  <si>
    <t xml:space="preserve">A0911057 </t>
  </si>
  <si>
    <t xml:space="preserve">alva.shaileshkumar.vishwanath@aon.com </t>
  </si>
  <si>
    <t>Beere Abhilash</t>
  </si>
  <si>
    <t>beere.abhilash@aon.com</t>
  </si>
  <si>
    <t>sudarshan.p@aon.com</t>
  </si>
  <si>
    <t>ramesha.h.k@aon.com</t>
  </si>
  <si>
    <t>Shaik Ahmed M</t>
  </si>
  <si>
    <t>shaik.ahamed.m@aon.com</t>
  </si>
  <si>
    <t>Sr. Manager</t>
  </si>
  <si>
    <t>Surety &amp; C&amp;I</t>
  </si>
  <si>
    <t>jugan.s.p@aon.com</t>
  </si>
  <si>
    <t>Age</t>
  </si>
  <si>
    <t>Birthday Month</t>
  </si>
  <si>
    <t>Reporting Manager</t>
  </si>
  <si>
    <t>Alternate Mobile</t>
  </si>
  <si>
    <t>Emergency Contact</t>
  </si>
  <si>
    <t>Emergency Relationship</t>
  </si>
  <si>
    <t>Personal Email</t>
  </si>
  <si>
    <t>Official Email</t>
  </si>
  <si>
    <t>Source Coverage</t>
  </si>
  <si>
    <t>Visible</t>
  </si>
  <si>
    <t>Details only</t>
  </si>
  <si>
    <t>Both source sheets</t>
  </si>
  <si>
    <t>Joydeep Gochait</t>
  </si>
  <si>
    <t>kavan.subramani@gmail.com</t>
  </si>
  <si>
    <t>Flat B1, no. 60, Itech Lotus, 5th Cross, 1st Main, SV Layout, Sanjay Nagar, Bengaluru - 560094</t>
  </si>
  <si>
    <t>Shrinathreddy N R</t>
  </si>
  <si>
    <t>Nithish P C</t>
  </si>
  <si>
    <t>Tejasai R</t>
  </si>
  <si>
    <t>Saritha G</t>
  </si>
  <si>
    <t>Manjunath B R</t>
  </si>
  <si>
    <t>S Sandeep</t>
  </si>
  <si>
    <t>Arun Kumar N G</t>
  </si>
  <si>
    <t>Shiva Kumar S</t>
  </si>
  <si>
    <t>Not available</t>
  </si>
  <si>
    <t>srinathreddy434@gmail.com</t>
  </si>
  <si>
    <t>niteshnidhu79@gmail.com</t>
  </si>
  <si>
    <t>saitejar46@gmail.com</t>
  </si>
  <si>
    <t>sarithainfinite@gmail.com</t>
  </si>
  <si>
    <t>manjunathabr4@gmail.com</t>
  </si>
  <si>
    <t>Binnaclesparkle@gmail.com</t>
  </si>
  <si>
    <t>aru.arun5849@gmail.com</t>
  </si>
  <si>
    <t>shivachand.1990@gmail.com</t>
  </si>
  <si>
    <t>#50 2nd B cross road, Jakkur Layout, Jakkur, Bangalore - 560064</t>
  </si>
  <si>
    <t>Flat #209 Sai Marg Apartment, 7th A cross Rd, Kaggadasapura main road, CV Raman Nagar, Bangalore - 560093</t>
  </si>
  <si>
    <t>No. 08, 2nd Cross, 1st Main, Vigneshwara Nagar, Sunkadakatte, Vishwaneedam Post, Bangalore - 560 091</t>
  </si>
  <si>
    <t>#48, 1st main, 2nd cross Marappa Layout, beside Ganesha temple, R R Nagar, Bangalore-560098</t>
  </si>
  <si>
    <t>near Ashwini Primary High School and Prestige Temple bells</t>
  </si>
  <si>
    <t>#1, Samruddi Nilaya, 6th cross, Vinayaka Layout, Kodipalya, Kenegeri, Bangalore 560060</t>
  </si>
  <si>
    <t>No 960, Flat no 202, 2nd Floor, HAL 2nd Stage, 12th Main Road Indiranagar, Bangalore 560008, Landmark (Above Chianti Italian Restaurant)</t>
  </si>
  <si>
    <t>No 5 Samruddhi Nilaya 2nd cross bhyraweshwara circle, near chappalamma temple, Thotadaguddadahalii, Bengaluru- 560073</t>
  </si>
  <si>
    <t>B310 TETRA GRAND GREEN ASPIRE CHOKKANAHALLI THANISANDRA BANGALORE 560064</t>
  </si>
  <si>
    <t>shrinathreddy.n.r@aon.com</t>
  </si>
  <si>
    <t>nithish.p.c@aon.com</t>
  </si>
  <si>
    <t>tejasai.r@aon.com</t>
  </si>
  <si>
    <t>saritha.g@aon.com</t>
  </si>
  <si>
    <t>manjunath.b.r@aon.com</t>
  </si>
  <si>
    <t>s.sandeep@aon.com</t>
  </si>
  <si>
    <t>arun.kumar.n.g@aon.com</t>
  </si>
  <si>
    <t>shiva.kumar.s@aon.com</t>
  </si>
  <si>
    <t>Samrin Mohammed Ilyas Shaikh</t>
  </si>
  <si>
    <t>Santosh Kumar Peddinti</t>
  </si>
  <si>
    <t>sharath.b.a@aon.com</t>
  </si>
  <si>
    <t>murali.k@aon.com</t>
  </si>
  <si>
    <t>nehashree.n@aon.com</t>
  </si>
  <si>
    <t>saravana.v@aon.com</t>
  </si>
  <si>
    <t>dinesh.kumar.srinivasan@aon.com</t>
  </si>
  <si>
    <t>srushti.h.s@aon.com</t>
  </si>
  <si>
    <t>nisarga.s.p@aon.com</t>
  </si>
  <si>
    <t>santhosh.a@aon.com</t>
  </si>
  <si>
    <t>syed.riyazudeen@aon.com</t>
  </si>
  <si>
    <t>samrin.mohammed.ilyas.shaikh@aon.com</t>
  </si>
  <si>
    <t>santosh.kumar.peddinti@aon.com</t>
  </si>
  <si>
    <t>mohammed.waseem@aon.com</t>
  </si>
  <si>
    <t>alva.shaileshkumar.vishwanath@aon.com</t>
  </si>
  <si>
    <t>Ayesha Niha M</t>
  </si>
  <si>
    <t>Boya Manoj</t>
  </si>
  <si>
    <t>Koushik SV</t>
  </si>
  <si>
    <t>Bhanuprakash R</t>
  </si>
  <si>
    <t>Anandu Viswanath</t>
  </si>
  <si>
    <t>ayeshaanfal2561@gmail.com</t>
  </si>
  <si>
    <t>manupro22042024@gmail.com</t>
  </si>
  <si>
    <t>koushiksv19@gmail.com</t>
  </si>
  <si>
    <t>bhanuprakash1037@gmail.com</t>
  </si>
  <si>
    <t>Ananduviswanath2255@gmail.com</t>
  </si>
  <si>
    <t>ayesha.niha.m@aon.com</t>
  </si>
  <si>
    <t>boya.manoj@aon.com</t>
  </si>
  <si>
    <t>koushik.s.v@aon.com</t>
  </si>
  <si>
    <t>bhanuprakash.r@aon.com</t>
  </si>
  <si>
    <t>anandu.viswanath@aon.com</t>
  </si>
  <si>
    <t>174, White Field Road, Near Urdu School, Kaverinagar, Mahadevapura, Bangalore- 560048 Karnātaka India</t>
  </si>
  <si>
    <t>Sri Vasavi Colive PG, Friends Layout, Chinnappanahalli main road Opposite Bagamane tech park Bangalore- 560037 Karnataka India</t>
  </si>
  <si>
    <t>NVR'S pg 460, 10th cross,Pattandur Agrahara Gutta Rd, Hill Side Layout, Ambedkar Nagar, Whitefield, Bengaluru, Karnataka 560066</t>
  </si>
  <si>
    <t>Sri Vasavi coliving, No 14, friends layout 10 cross , ITPL main road, opp. bagmane tech park, Chinnappahalli, Marathahalli Bengaluru- 560037 Karnataka</t>
  </si>
  <si>
    <t xml:space="preserve">Stanza Living Durham House Vinayaka Layout Whitefield Bengaluru 560066 </t>
  </si>
  <si>
    <t>Thanga Suyambu Mani T</t>
  </si>
  <si>
    <t>Farheen Fathima S A</t>
  </si>
  <si>
    <t>Chethana H K</t>
  </si>
  <si>
    <t>Sunil Kiran M</t>
  </si>
  <si>
    <t>Thagiri Nagaraja</t>
  </si>
  <si>
    <t>Abhishek Kumar S R</t>
  </si>
  <si>
    <t>R Manish Kumar</t>
  </si>
  <si>
    <t>Broking</t>
  </si>
  <si>
    <t>Sandeep Udaykumar</t>
  </si>
  <si>
    <t>tts1798@gmail.com</t>
  </si>
  <si>
    <t>farheen23sa@gmail.com</t>
  </si>
  <si>
    <t>cethu2610@gmail.com</t>
  </si>
  <si>
    <t>sunilkiran56@gmail.com</t>
  </si>
  <si>
    <t>thagirinagaraja123@gmail.com</t>
  </si>
  <si>
    <t>srabhishek1996@gmail.com</t>
  </si>
  <si>
    <t>manishmanish16@gmail.com</t>
  </si>
  <si>
    <t>thanga.suyambu.mani.t@aon.com</t>
  </si>
  <si>
    <t>farheen.fathima.s.a@aon.com</t>
  </si>
  <si>
    <t>chethana.hk@aon.com</t>
  </si>
  <si>
    <t>sunil.kiran.m@aon.com</t>
  </si>
  <si>
    <t>thagiri.nagaraja@aon.com</t>
  </si>
  <si>
    <t>abhishek.kumar.s.r@aon.com</t>
  </si>
  <si>
    <t>r.manish.kumar@aon.com</t>
  </si>
  <si>
    <t>Flat Number: 303, #618 Siri Sampada, 14th Main, VHBCS LTD, Nagavara, Bengaluru, Karnataka 560045</t>
  </si>
  <si>
    <t>No.8, 1st cross, Emerald Residency, behind Sri Balaji Krupa Layout, R K Hegde Nagar, Bangalore - 560077</t>
  </si>
  <si>
    <t>54/3, 3rd cross, Kanaka Nagar Main Road, Veerannapalya, Bengaluru - 560045</t>
  </si>
  <si>
    <t>#30, 1st cross, Junadie Masjid road, DJ Halli, Bangalore 560045</t>
  </si>
  <si>
    <t>NO 68 Sharath Nilaya Valmiki Street 7th CRS Post, Office RD RM Nagar, Bangalore North, KA, 560016</t>
  </si>
  <si>
    <t>No 63, Sri Manjunatha Nilaya, 2nd Main, 2nd Cross, Saraswathipuram, Halasuru, Bangalore - 560008</t>
  </si>
  <si>
    <t>#65 binnymill main road cottonpet bangalore-560053 Karnataka</t>
  </si>
  <si>
    <t>Phase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</si>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</sst>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\-mmm\-yy;@"/>
    <numFmt numFmtId="166" formatCode="dd\-mmm\-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9"/>
      <color rgb="FF17365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66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/>
  </cellStyleXfs>
  <cellXfs count="3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5" fillId="8" borderId="0" xfId="0" applyFont="1" applyFill="1"/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wrapText="1"/>
    </xf>
    <xf numFmtId="0" fontId="6" fillId="8" borderId="1" xfId="0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" fontId="0" fillId="0" borderId="0" xfId="0" applyNumberFormat="1"/>
    <xf numFmtId="0" fontId="1" fillId="0" borderId="0" xfId="1"/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</cellXfs>
  <cellStyles count="3">
    <cellStyle name="Hyperlink" xfId="1" builtinId="8"/>
    <cellStyle name="Hyperlink 2" xfId="2" xr:uid="{00F80333-6F7C-46B8-8BCA-557B5FF64ECC}"/>
    <cellStyle name="Normal" xfId="0" builtinId="0"/>
  </cellStyles>
  <dxfs count="50"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" formatCode="0"/>
      <alignment vertical="bottom" textRotation="0" wrapText="0" indent="0" justifyLastLine="0" shrinkToFit="0" readingOrder="0"/>
    </dxf>
    <dxf>
      <numFmt numFmtId="1" formatCode="0"/>
      <alignment vertical="bottom" textRotation="0" wrapText="0" indent="0" justifyLastLine="0" shrinkToFit="0" readingOrder="0"/>
    </dxf>
    <dxf>
      <numFmt numFmtId="1" formatCode="0"/>
      <alignment vertical="bottom" textRotation="0" wrapText="0" indent="0" justifyLastLine="0" shrinkToFit="0" readingOrder="0"/>
    </dxf>
    <dxf>
      <numFmt numFmtId="1" formatCode="0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" formatCode="0"/>
      <alignment vertical="bottom" textRotation="0" wrapText="0" indent="0" justifyLastLine="0" shrinkToFit="0" readingOrder="0"/>
    </dxf>
    <dxf>
      <numFmt numFmtId="166" formatCode="dd\-mmm\-yyyy"/>
      <alignment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dd\-mmm\-yyyy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E530B-B561-48A7-91A1-A0CFA3DEEC94}" name="tblEmployees" displayName="tblEmployees" ref="A1:Y60" totalsRowShown="0" headerRowDxfId="49" dataDxfId="48">
  <tableColumns count="25">
    <tableColumn id="1" xr3:uid="{A5DED008-794A-4794-A93F-154586B09707}" name="AON ID" dataDxfId="47"/>
    <tableColumn id="2" xr3:uid="{0F4F9C85-F8D3-4DF9-9ABA-124E332BE8C9}" name="Employee Name" dataDxfId="46"/>
    <tableColumn id="3" xr3:uid="{42D5C06F-A68F-4111-A397-D804E3DF2DBA}" name="Designation" dataDxfId="45"/>
    <tableColumn id="4" xr3:uid="{2B2D3815-1F7D-47BF-960B-7EB8012769D8}" name="Date of Joining" dataDxfId="44"/>
    <tableColumn id="24" xr3:uid="{141C11C9-CBF8-4F1D-B159-62FF7CAFC981}" name="Phase" dataDxfId="43"/>
    <tableColumn id="5" xr3:uid="{5BB50CE8-7686-49A8-938C-DC7871FC1E77}" name="Date of Birth" dataDxfId="42"/>
    <tableColumn id="6" xr3:uid="{1A8AB79A-B996-4C96-A5C8-3EC74C959C98}" name="Age" dataDxfId="41">
      <calculatedColumnFormula>IF(tblEmployees[[#This Row],[Date of Birth]]="","",DATEDIF(tblEmployees[[#This Row],[Date of Birth]],TODAY(),"Y"))</calculatedColumnFormula>
    </tableColumn>
    <tableColumn id="7" xr3:uid="{1D567CF0-5AD1-4D44-BCFA-7EA549559652}" name="Birthday Month" dataDxfId="40">
      <calculatedColumnFormula>IF(tblEmployees[[#This Row],[Date of Birth]]="","",TEXT(tblEmployees[[#This Row],[Date of Birth]],"mmmm"))</calculatedColumnFormula>
    </tableColumn>
    <tableColumn id="8" xr3:uid="{0BA55BBF-CF1B-473F-8285-4CCD6389CC5A}" name="Team" dataDxfId="39"/>
    <tableColumn id="25" xr3:uid="{8A4F7172-D55C-4827-9A80-BF5A4C1EB2FB}" name="Gender" dataDxfId="38"/>
    <tableColumn id="9" xr3:uid="{4EBA9A96-BB04-4315-8DF9-69D46578CC84}" name="LOB" dataDxfId="37"/>
    <tableColumn id="10" xr3:uid="{BE4DA1D7-67E1-4099-95B5-78369E6516A4}" name="Reporting Manager" dataDxfId="36"/>
    <tableColumn id="11" xr3:uid="{127BC7D2-39FF-4F0C-948F-850CB6BB7DBD}" name="Mobile Number" dataDxfId="35"/>
    <tableColumn id="12" xr3:uid="{5456B397-C613-489E-9972-4FC52B6C2E2C}" name="Alternate Mobile" dataDxfId="34"/>
    <tableColumn id="13" xr3:uid="{6A011FAB-151E-4815-8B28-233C30FC256E}" name="Emergency Contact" dataDxfId="33"/>
    <tableColumn id="14" xr3:uid="{D4136179-9FEA-42B1-B837-D7094EB85401}" name="Emergency Relationship" dataDxfId="32"/>
    <tableColumn id="15" xr3:uid="{EE0CCE2A-E822-41D8-9FBD-2262512A5E95}" name="Personal Email" dataDxfId="31"/>
    <tableColumn id="16" xr3:uid="{40F30C43-B2F4-4ED4-B69A-7D3A49EAA19B}" name="Official Email" dataDxfId="30"/>
    <tableColumn id="17" xr3:uid="{4F35FDE7-EC3D-4573-835C-49190F851859}" name="Transport Request" dataDxfId="29"/>
    <tableColumn id="18" xr3:uid="{82C0F82C-8E11-4B9C-86FE-A32C5DDC0A57}" name="Xpress Access" dataDxfId="28"/>
    <tableColumn id="19" xr3:uid="{E51FF9C5-4B3D-4751-8E7A-D5AB56D48770}" name="Emma (DMI)" dataDxfId="27"/>
    <tableColumn id="20" xr3:uid="{845CA801-AC74-41BA-A711-795CBC7EA11B}" name="Current Address" dataDxfId="26"/>
    <tableColumn id="21" xr3:uid="{79B24268-4C06-4E41-8898-DBA754B33310}" name="Permanent Address" dataDxfId="25"/>
    <tableColumn id="22" xr3:uid="{B4C327B0-A846-457C-8B8D-9EDEFD7D6685}" name="Source Coverage" dataDxfId="24"/>
    <tableColumn id="23" xr3:uid="{D22B6F71-5869-4006-8CE7-2F6CBB406A1A}" name="Visible" dataDxfId="23">
      <calculatedColumnFormula>SUBTOTAL(103,tblEmployees[[#This Row],[AON ID]])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F497E4-0F16-4395-A338-F8D6CB1BF5A2}">
  <we:reference id="wa200004935" version="1.0.0.0" store="en-US" storeType="OMEX"/>
  <we:alternateReferences>
    <we:reference id="wa200004935" version="1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van.subramani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ohammedwaseem32@yahoo.i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kit.chhabadiya@aon.com" TargetMode="External"/><Relationship Id="rId13" Type="http://schemas.openxmlformats.org/officeDocument/2006/relationships/hyperlink" Target="mailto:gummanayakapalya.pooja.sri@aon.com" TargetMode="External"/><Relationship Id="rId3" Type="http://schemas.openxmlformats.org/officeDocument/2006/relationships/hyperlink" Target="mailto:jugan.s.p@aon.com" TargetMode="External"/><Relationship Id="rId7" Type="http://schemas.openxmlformats.org/officeDocument/2006/relationships/hyperlink" Target="mailto:shaik.ahamed.m@aon.com" TargetMode="External"/><Relationship Id="rId12" Type="http://schemas.openxmlformats.org/officeDocument/2006/relationships/hyperlink" Target="mailto:sainatha.b@aon.com" TargetMode="External"/><Relationship Id="rId2" Type="http://schemas.openxmlformats.org/officeDocument/2006/relationships/hyperlink" Target="mailto:Bhavya.mishra1@aon.com" TargetMode="External"/><Relationship Id="rId1" Type="http://schemas.openxmlformats.org/officeDocument/2006/relationships/hyperlink" Target="mailto:rekha.laxman.bennur@aon.com" TargetMode="External"/><Relationship Id="rId6" Type="http://schemas.openxmlformats.org/officeDocument/2006/relationships/hyperlink" Target="mailto:nisha.n@aon.com" TargetMode="External"/><Relationship Id="rId11" Type="http://schemas.openxmlformats.org/officeDocument/2006/relationships/hyperlink" Target="mailto:himanshu.lohani@aon.com" TargetMode="External"/><Relationship Id="rId5" Type="http://schemas.openxmlformats.org/officeDocument/2006/relationships/hyperlink" Target="mailto:abhishek.s@aon.com" TargetMode="External"/><Relationship Id="rId10" Type="http://schemas.openxmlformats.org/officeDocument/2006/relationships/hyperlink" Target="mailto:vinodh.b@aon.com" TargetMode="External"/><Relationship Id="rId4" Type="http://schemas.openxmlformats.org/officeDocument/2006/relationships/hyperlink" Target="mailto:kavan.n.s@aon.com" TargetMode="External"/><Relationship Id="rId9" Type="http://schemas.openxmlformats.org/officeDocument/2006/relationships/hyperlink" Target="mailto:shaik.faizoon@a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5314-8D06-428D-857A-3EBBCC9909A3}">
  <dimension ref="A1:Y60"/>
  <sheetViews>
    <sheetView tabSelected="1" topLeftCell="T1" zoomScale="70" zoomScaleNormal="70" workbookViewId="0">
      <selection activeCell="W13" sqref="W13"/>
    </sheetView>
  </sheetViews>
  <sheetFormatPr defaultRowHeight="14.5" x14ac:dyDescent="0.35"/>
  <cols>
    <col min="1" max="1" width="6.90625" bestFit="1" customWidth="1"/>
    <col min="2" max="2" width="27.81640625" bestFit="1" customWidth="1"/>
    <col min="3" max="3" width="19.08984375" bestFit="1" customWidth="1"/>
    <col min="4" max="4" width="13.26953125" bestFit="1" customWidth="1"/>
    <col min="5" max="5" width="5.81640625" customWidth="1"/>
    <col min="6" max="6" width="11.7265625" bestFit="1" customWidth="1"/>
    <col min="7" max="7" width="4" bestFit="1" customWidth="1"/>
    <col min="8" max="8" width="14.1796875" bestFit="1" customWidth="1"/>
    <col min="9" max="9" width="7.08984375" style="1" bestFit="1" customWidth="1"/>
    <col min="10" max="10" width="7.08984375" style="1" customWidth="1"/>
    <col min="11" max="11" width="16.36328125" customWidth="1"/>
    <col min="12" max="12" width="18.26953125" bestFit="1" customWidth="1"/>
    <col min="13" max="13" width="14" bestFit="1" customWidth="1"/>
    <col min="14" max="14" width="23.26953125" bestFit="1" customWidth="1"/>
    <col min="15" max="15" width="25.1796875" bestFit="1" customWidth="1"/>
    <col min="16" max="16" width="29.36328125" bestFit="1" customWidth="1"/>
    <col min="17" max="17" width="34.6328125" bestFit="1" customWidth="1"/>
    <col min="18" max="18" width="41.08984375" bestFit="1" customWidth="1"/>
    <col min="19" max="19" width="24.36328125" bestFit="1" customWidth="1"/>
    <col min="20" max="20" width="20.7265625" bestFit="1" customWidth="1"/>
    <col min="21" max="21" width="19.90625" bestFit="1" customWidth="1"/>
    <col min="22" max="22" width="56.90625" customWidth="1"/>
    <col min="23" max="23" width="74.08984375" customWidth="1"/>
    <col min="24" max="24" width="23.08984375" bestFit="1" customWidth="1"/>
    <col min="25" max="25" width="14.81640625" bestFit="1" customWidth="1"/>
  </cols>
  <sheetData>
    <row r="1" spans="1:25" x14ac:dyDescent="0.35">
      <c r="A1" s="18" t="s">
        <v>67</v>
      </c>
      <c r="B1" s="18" t="s">
        <v>66</v>
      </c>
      <c r="C1" s="18" t="s">
        <v>203</v>
      </c>
      <c r="D1" s="18" t="s">
        <v>204</v>
      </c>
      <c r="E1" s="18" t="s">
        <v>415</v>
      </c>
      <c r="F1" s="18" t="s">
        <v>205</v>
      </c>
      <c r="G1" s="18" t="s">
        <v>301</v>
      </c>
      <c r="H1" s="18" t="s">
        <v>302</v>
      </c>
      <c r="I1" s="18" t="s">
        <v>207</v>
      </c>
      <c r="J1" s="18" t="s">
        <v>416</v>
      </c>
      <c r="K1" s="18" t="s">
        <v>208</v>
      </c>
      <c r="L1" s="18" t="s">
        <v>303</v>
      </c>
      <c r="M1" s="18" t="s">
        <v>69</v>
      </c>
      <c r="N1" s="18" t="s">
        <v>304</v>
      </c>
      <c r="O1" s="18" t="s">
        <v>305</v>
      </c>
      <c r="P1" s="18" t="s">
        <v>306</v>
      </c>
      <c r="Q1" s="18" t="s">
        <v>307</v>
      </c>
      <c r="R1" s="18" t="s">
        <v>308</v>
      </c>
      <c r="S1" s="18" t="s">
        <v>209</v>
      </c>
      <c r="T1" s="18" t="s">
        <v>211</v>
      </c>
      <c r="U1" s="18" t="s">
        <v>212</v>
      </c>
      <c r="V1" s="18" t="s">
        <v>147</v>
      </c>
      <c r="W1" s="18" t="s">
        <v>148</v>
      </c>
      <c r="X1" s="18" t="s">
        <v>309</v>
      </c>
      <c r="Y1" s="18" t="s">
        <v>310</v>
      </c>
    </row>
    <row r="2" spans="1:25" x14ac:dyDescent="0.35">
      <c r="A2">
        <v>911584</v>
      </c>
      <c r="B2" t="s">
        <v>216</v>
      </c>
      <c r="C2" t="s">
        <v>217</v>
      </c>
      <c r="D2" s="24">
        <v>46237</v>
      </c>
      <c r="E2" s="32">
        <v>1</v>
      </c>
      <c r="F2" s="24">
        <v>31683</v>
      </c>
      <c r="G2" s="25">
        <f ca="1">IF(tblEmployees[[#This Row],[Date of Birth]]="","",DATEDIF(tblEmployees[[#This Row],[Date of Birth]],TODAY(),"Y"))</f>
        <v>40</v>
      </c>
      <c r="H2" t="str">
        <f>IF(tblEmployees[[#This Row],[Date of Birth]]="","",TEXT(tblEmployees[[#This Row],[Date of Birth]],"mmmm"))</f>
        <v>September</v>
      </c>
      <c r="I2" s="1" t="s">
        <v>218</v>
      </c>
      <c r="J2" s="1" t="s">
        <v>417</v>
      </c>
      <c r="K2" t="s">
        <v>219</v>
      </c>
      <c r="L2" t="s">
        <v>313</v>
      </c>
      <c r="M2" s="25">
        <v>8147536538</v>
      </c>
      <c r="N2" s="25"/>
      <c r="O2" s="25"/>
      <c r="P2" s="25"/>
      <c r="R2" t="s">
        <v>221</v>
      </c>
      <c r="S2" t="s">
        <v>220</v>
      </c>
      <c r="T2" t="s">
        <v>220</v>
      </c>
      <c r="U2" t="s">
        <v>220</v>
      </c>
      <c r="V2" t="s">
        <v>220</v>
      </c>
      <c r="X2" t="s">
        <v>311</v>
      </c>
      <c r="Y2">
        <f>SUBTOTAL(103,tblEmployees[[#This Row],[AON ID]])</f>
        <v>1</v>
      </c>
    </row>
    <row r="3" spans="1:25" x14ac:dyDescent="0.35">
      <c r="A3">
        <v>910987</v>
      </c>
      <c r="B3" t="s">
        <v>222</v>
      </c>
      <c r="C3" t="s">
        <v>223</v>
      </c>
      <c r="D3" s="24">
        <v>46216</v>
      </c>
      <c r="E3" s="32">
        <v>1</v>
      </c>
      <c r="F3" s="24">
        <v>35276</v>
      </c>
      <c r="G3" s="25">
        <f ca="1">IF(tblEmployees[[#This Row],[Date of Birth]]="","",DATEDIF(tblEmployees[[#This Row],[Date of Birth]],TODAY(),"Y"))</f>
        <v>30</v>
      </c>
      <c r="H3" t="str">
        <f>IF(tblEmployees[[#This Row],[Date of Birth]]="","",TEXT(tblEmployees[[#This Row],[Date of Birth]],"mmmm"))</f>
        <v>July</v>
      </c>
      <c r="I3" s="1" t="s">
        <v>218</v>
      </c>
      <c r="J3" s="1" t="s">
        <v>417</v>
      </c>
      <c r="K3" t="s">
        <v>224</v>
      </c>
      <c r="L3" t="s">
        <v>62</v>
      </c>
      <c r="M3" s="25">
        <v>9916716585</v>
      </c>
      <c r="N3" s="25">
        <v>9916716585</v>
      </c>
      <c r="O3" s="25">
        <v>8618435661</v>
      </c>
      <c r="P3" s="25" t="s">
        <v>73</v>
      </c>
      <c r="Q3" t="s">
        <v>104</v>
      </c>
      <c r="R3" t="s">
        <v>352</v>
      </c>
      <c r="S3" t="s">
        <v>220</v>
      </c>
      <c r="T3" t="s">
        <v>220</v>
      </c>
      <c r="U3" t="s">
        <v>220</v>
      </c>
      <c r="V3" t="s">
        <v>168</v>
      </c>
      <c r="W3" t="s">
        <v>168</v>
      </c>
      <c r="X3" t="s">
        <v>312</v>
      </c>
      <c r="Y3">
        <f>SUBTOTAL(103,tblEmployees[[#This Row],[AON ID]])</f>
        <v>1</v>
      </c>
    </row>
    <row r="4" spans="1:25" x14ac:dyDescent="0.35">
      <c r="A4">
        <v>911137</v>
      </c>
      <c r="B4" t="s">
        <v>42</v>
      </c>
      <c r="C4" t="s">
        <v>223</v>
      </c>
      <c r="D4" s="24">
        <v>46219</v>
      </c>
      <c r="E4" s="32">
        <v>1</v>
      </c>
      <c r="F4" s="24">
        <v>31769</v>
      </c>
      <c r="G4" s="25">
        <f ca="1">IF(tblEmployees[[#This Row],[Date of Birth]]="","",DATEDIF(tblEmployees[[#This Row],[Date of Birth]],TODAY(),"Y"))</f>
        <v>39</v>
      </c>
      <c r="H4" t="str">
        <f>IF(tblEmployees[[#This Row],[Date of Birth]]="","",TEXT(tblEmployees[[#This Row],[Date of Birth]],"mmmm"))</f>
        <v>December</v>
      </c>
      <c r="I4" s="1" t="s">
        <v>218</v>
      </c>
      <c r="J4" s="1" t="s">
        <v>417</v>
      </c>
      <c r="K4" t="s">
        <v>224</v>
      </c>
      <c r="L4" t="s">
        <v>62</v>
      </c>
      <c r="M4" s="25">
        <v>9746142845</v>
      </c>
      <c r="N4" s="25">
        <v>9497224278</v>
      </c>
      <c r="O4" s="25">
        <v>9074344981</v>
      </c>
      <c r="P4" s="25" t="s">
        <v>75</v>
      </c>
      <c r="Q4" t="s">
        <v>105</v>
      </c>
      <c r="R4" t="s">
        <v>226</v>
      </c>
      <c r="S4" t="s">
        <v>220</v>
      </c>
      <c r="T4" t="s">
        <v>220</v>
      </c>
      <c r="U4" t="s">
        <v>220</v>
      </c>
      <c r="V4" t="s">
        <v>169</v>
      </c>
      <c r="W4" t="s">
        <v>191</v>
      </c>
      <c r="X4" t="s">
        <v>312</v>
      </c>
      <c r="Y4">
        <f>SUBTOTAL(103,tblEmployees[[#This Row],[AON ID]])</f>
        <v>1</v>
      </c>
    </row>
    <row r="5" spans="1:25" x14ac:dyDescent="0.35">
      <c r="A5">
        <v>911039</v>
      </c>
      <c r="B5" t="s">
        <v>34</v>
      </c>
      <c r="C5" t="s">
        <v>223</v>
      </c>
      <c r="D5" s="24">
        <v>46220</v>
      </c>
      <c r="E5" s="32">
        <v>1</v>
      </c>
      <c r="F5" s="24">
        <v>36296</v>
      </c>
      <c r="G5" s="25">
        <f ca="1">IF(tblEmployees[[#This Row],[Date of Birth]]="","",DATEDIF(tblEmployees[[#This Row],[Date of Birth]],TODAY(),"Y"))</f>
        <v>27</v>
      </c>
      <c r="H5" t="str">
        <f>IF(tblEmployees[[#This Row],[Date of Birth]]="","",TEXT(tblEmployees[[#This Row],[Date of Birth]],"mmmm"))</f>
        <v>May</v>
      </c>
      <c r="I5" s="1" t="s">
        <v>218</v>
      </c>
      <c r="J5" s="1" t="s">
        <v>417</v>
      </c>
      <c r="K5" t="s">
        <v>224</v>
      </c>
      <c r="L5" t="s">
        <v>62</v>
      </c>
      <c r="M5" s="25">
        <v>9535787578</v>
      </c>
      <c r="N5" s="25">
        <v>9535263003</v>
      </c>
      <c r="O5" s="25">
        <v>7411714048</v>
      </c>
      <c r="P5" s="25" t="s">
        <v>78</v>
      </c>
      <c r="Q5" t="s">
        <v>101</v>
      </c>
      <c r="R5" t="s">
        <v>353</v>
      </c>
      <c r="S5" t="s">
        <v>220</v>
      </c>
      <c r="T5" t="s">
        <v>220</v>
      </c>
      <c r="U5" t="s">
        <v>220</v>
      </c>
      <c r="V5" t="s">
        <v>165</v>
      </c>
      <c r="W5" t="s">
        <v>165</v>
      </c>
      <c r="X5" t="s">
        <v>312</v>
      </c>
      <c r="Y5">
        <f>SUBTOTAL(103,tblEmployees[[#This Row],[AON ID]])</f>
        <v>1</v>
      </c>
    </row>
    <row r="6" spans="1:25" x14ac:dyDescent="0.35">
      <c r="A6">
        <v>911119</v>
      </c>
      <c r="B6" t="s">
        <v>14</v>
      </c>
      <c r="C6" t="s">
        <v>230</v>
      </c>
      <c r="D6" s="24">
        <v>46220</v>
      </c>
      <c r="E6" s="32">
        <v>1</v>
      </c>
      <c r="F6" s="24">
        <v>34216</v>
      </c>
      <c r="G6" s="25">
        <f ca="1">IF(tblEmployees[[#This Row],[Date of Birth]]="","",DATEDIF(tblEmployees[[#This Row],[Date of Birth]],TODAY(),"Y"))</f>
        <v>33</v>
      </c>
      <c r="H6" t="str">
        <f>IF(tblEmployees[[#This Row],[Date of Birth]]="","",TEXT(tblEmployees[[#This Row],[Date of Birth]],"mmmm"))</f>
        <v>September</v>
      </c>
      <c r="I6" s="1" t="s">
        <v>218</v>
      </c>
      <c r="J6" s="1" t="s">
        <v>418</v>
      </c>
      <c r="K6" t="s">
        <v>224</v>
      </c>
      <c r="L6" t="s">
        <v>62</v>
      </c>
      <c r="M6" s="25">
        <v>8892531901</v>
      </c>
      <c r="N6" s="25">
        <v>9241763541</v>
      </c>
      <c r="O6" s="25">
        <v>9241763541</v>
      </c>
      <c r="P6" s="25" t="s">
        <v>77</v>
      </c>
      <c r="Q6" t="s">
        <v>91</v>
      </c>
      <c r="R6" t="s">
        <v>354</v>
      </c>
      <c r="S6" t="s">
        <v>220</v>
      </c>
      <c r="T6" t="s">
        <v>220</v>
      </c>
      <c r="U6" t="s">
        <v>220</v>
      </c>
      <c r="V6" t="s">
        <v>155</v>
      </c>
      <c r="W6" t="s">
        <v>155</v>
      </c>
      <c r="X6" t="s">
        <v>312</v>
      </c>
      <c r="Y6">
        <f>SUBTOTAL(103,tblEmployees[[#This Row],[AON ID]])</f>
        <v>1</v>
      </c>
    </row>
    <row r="7" spans="1:25" x14ac:dyDescent="0.35">
      <c r="A7">
        <v>911591</v>
      </c>
      <c r="B7" t="s">
        <v>60</v>
      </c>
      <c r="C7" t="s">
        <v>223</v>
      </c>
      <c r="D7" s="24">
        <v>46223</v>
      </c>
      <c r="E7" s="32">
        <v>1</v>
      </c>
      <c r="F7" s="24">
        <v>36101</v>
      </c>
      <c r="G7" s="25">
        <f ca="1">IF(tblEmployees[[#This Row],[Date of Birth]]="","",DATEDIF(tblEmployees[[#This Row],[Date of Birth]],TODAY(),"Y"))</f>
        <v>27</v>
      </c>
      <c r="H7" t="str">
        <f>IF(tblEmployees[[#This Row],[Date of Birth]]="","",TEXT(tblEmployees[[#This Row],[Date of Birth]],"mmmm"))</f>
        <v>November</v>
      </c>
      <c r="I7" s="1" t="s">
        <v>218</v>
      </c>
      <c r="J7" s="1" t="s">
        <v>418</v>
      </c>
      <c r="K7" t="s">
        <v>224</v>
      </c>
      <c r="L7" t="s">
        <v>62</v>
      </c>
      <c r="M7" s="25">
        <v>9538713337</v>
      </c>
      <c r="N7" s="25">
        <v>8861622423</v>
      </c>
      <c r="O7" s="25">
        <v>8861622423</v>
      </c>
      <c r="P7" s="25" t="s">
        <v>75</v>
      </c>
      <c r="Q7" t="s">
        <v>114</v>
      </c>
      <c r="R7" t="s">
        <v>232</v>
      </c>
      <c r="S7" t="s">
        <v>220</v>
      </c>
      <c r="T7" t="s">
        <v>220</v>
      </c>
      <c r="U7" t="s">
        <v>220</v>
      </c>
      <c r="V7" t="s">
        <v>178</v>
      </c>
      <c r="W7" t="s">
        <v>199</v>
      </c>
      <c r="X7" t="s">
        <v>312</v>
      </c>
      <c r="Y7">
        <f>SUBTOTAL(103,tblEmployees[[#This Row],[AON ID]])</f>
        <v>1</v>
      </c>
    </row>
    <row r="8" spans="1:25" x14ac:dyDescent="0.35">
      <c r="A8">
        <v>906484</v>
      </c>
      <c r="B8" t="s">
        <v>72</v>
      </c>
      <c r="C8" t="s">
        <v>234</v>
      </c>
      <c r="D8" s="24">
        <v>46174</v>
      </c>
      <c r="E8" s="32">
        <v>1</v>
      </c>
      <c r="F8" s="24">
        <v>30398</v>
      </c>
      <c r="G8" s="25">
        <f ca="1">IF(tblEmployees[[#This Row],[Date of Birth]]="","",DATEDIF(tblEmployees[[#This Row],[Date of Birth]],TODAY(),"Y"))</f>
        <v>43</v>
      </c>
      <c r="H8" t="str">
        <f>IF(tblEmployees[[#This Row],[Date of Birth]]="","",TEXT(tblEmployees[[#This Row],[Date of Birth]],"mmmm"))</f>
        <v>March</v>
      </c>
      <c r="I8" s="1" t="s">
        <v>218</v>
      </c>
      <c r="J8" s="1" t="s">
        <v>418</v>
      </c>
      <c r="K8" t="s">
        <v>235</v>
      </c>
      <c r="L8" t="s">
        <v>216</v>
      </c>
      <c r="M8" s="25">
        <v>9986369589</v>
      </c>
      <c r="N8" s="25">
        <v>6363418566</v>
      </c>
      <c r="O8" s="25">
        <v>9886327080</v>
      </c>
      <c r="P8" s="25" t="s">
        <v>77</v>
      </c>
      <c r="Q8" s="26" t="s">
        <v>314</v>
      </c>
      <c r="R8" t="s">
        <v>236</v>
      </c>
      <c r="S8" t="s">
        <v>220</v>
      </c>
      <c r="T8" t="s">
        <v>220</v>
      </c>
      <c r="U8" t="s">
        <v>220</v>
      </c>
      <c r="V8" t="s">
        <v>315</v>
      </c>
      <c r="W8" t="s">
        <v>315</v>
      </c>
      <c r="X8" t="s">
        <v>312</v>
      </c>
      <c r="Y8">
        <f>SUBTOTAL(103,tblEmployees[[#This Row],[AON ID]])</f>
        <v>1</v>
      </c>
    </row>
    <row r="9" spans="1:25" x14ac:dyDescent="0.35">
      <c r="A9">
        <v>865247</v>
      </c>
      <c r="B9" t="s">
        <v>30</v>
      </c>
      <c r="C9" t="s">
        <v>223</v>
      </c>
      <c r="D9" s="24">
        <v>46216</v>
      </c>
      <c r="E9" s="32">
        <v>1</v>
      </c>
      <c r="F9" s="24">
        <v>35449</v>
      </c>
      <c r="G9" s="25">
        <f ca="1">IF(tblEmployees[[#This Row],[Date of Birth]]="","",DATEDIF(tblEmployees[[#This Row],[Date of Birth]],TODAY(),"Y"))</f>
        <v>29</v>
      </c>
      <c r="H9" t="str">
        <f>IF(tblEmployees[[#This Row],[Date of Birth]]="","",TEXT(tblEmployees[[#This Row],[Date of Birth]],"mmmm"))</f>
        <v>January</v>
      </c>
      <c r="I9" s="1" t="s">
        <v>218</v>
      </c>
      <c r="J9" s="1" t="s">
        <v>417</v>
      </c>
      <c r="K9" t="s">
        <v>235</v>
      </c>
      <c r="L9" t="s">
        <v>72</v>
      </c>
      <c r="M9" s="25">
        <v>9713138433</v>
      </c>
      <c r="N9" s="25">
        <v>9713310006</v>
      </c>
      <c r="O9" s="25">
        <v>8088082764</v>
      </c>
      <c r="P9" s="25" t="s">
        <v>80</v>
      </c>
      <c r="Q9" t="s">
        <v>99</v>
      </c>
      <c r="R9" t="s">
        <v>237</v>
      </c>
      <c r="S9" t="s">
        <v>220</v>
      </c>
      <c r="T9" t="s">
        <v>220</v>
      </c>
      <c r="U9" t="s">
        <v>220</v>
      </c>
      <c r="V9" t="s">
        <v>163</v>
      </c>
      <c r="W9" t="s">
        <v>188</v>
      </c>
      <c r="X9" t="s">
        <v>312</v>
      </c>
      <c r="Y9">
        <f>SUBTOTAL(103,tblEmployees[[#This Row],[AON ID]])</f>
        <v>1</v>
      </c>
    </row>
    <row r="10" spans="1:25" x14ac:dyDescent="0.35">
      <c r="A10">
        <v>910983</v>
      </c>
      <c r="B10" t="s">
        <v>8</v>
      </c>
      <c r="C10" t="s">
        <v>223</v>
      </c>
      <c r="D10" s="24">
        <v>46216</v>
      </c>
      <c r="E10" s="32">
        <v>1</v>
      </c>
      <c r="F10" s="24">
        <v>35879</v>
      </c>
      <c r="G10" s="25">
        <f ca="1">IF(tblEmployees[[#This Row],[Date of Birth]]="","",DATEDIF(tblEmployees[[#This Row],[Date of Birth]],TODAY(),"Y"))</f>
        <v>28</v>
      </c>
      <c r="H10" t="str">
        <f>IF(tblEmployees[[#This Row],[Date of Birth]]="","",TEXT(tblEmployees[[#This Row],[Date of Birth]],"mmmm"))</f>
        <v>March</v>
      </c>
      <c r="I10" s="1" t="s">
        <v>218</v>
      </c>
      <c r="J10" s="1" t="s">
        <v>417</v>
      </c>
      <c r="K10" t="s">
        <v>235</v>
      </c>
      <c r="L10" t="s">
        <v>72</v>
      </c>
      <c r="M10" s="25">
        <v>9916834238</v>
      </c>
      <c r="N10" s="28" t="s">
        <v>324</v>
      </c>
      <c r="O10" s="25">
        <v>9080660053</v>
      </c>
      <c r="P10" s="25" t="s">
        <v>76</v>
      </c>
      <c r="Q10" t="s">
        <v>88</v>
      </c>
      <c r="R10" t="s">
        <v>355</v>
      </c>
      <c r="S10" t="s">
        <v>220</v>
      </c>
      <c r="T10" t="s">
        <v>220</v>
      </c>
      <c r="U10" t="s">
        <v>220</v>
      </c>
      <c r="V10" t="s">
        <v>152</v>
      </c>
      <c r="W10" t="s">
        <v>152</v>
      </c>
      <c r="X10" t="s">
        <v>312</v>
      </c>
      <c r="Y10">
        <f>SUBTOTAL(103,tblEmployees[[#This Row],[AON ID]])</f>
        <v>1</v>
      </c>
    </row>
    <row r="11" spans="1:25" x14ac:dyDescent="0.35">
      <c r="A11">
        <v>910984</v>
      </c>
      <c r="B11" t="s">
        <v>239</v>
      </c>
      <c r="C11" t="s">
        <v>240</v>
      </c>
      <c r="D11" s="24">
        <v>46216</v>
      </c>
      <c r="E11" s="32">
        <v>1</v>
      </c>
      <c r="F11" s="24">
        <v>36624</v>
      </c>
      <c r="G11" s="25">
        <f ca="1">IF(tblEmployees[[#This Row],[Date of Birth]]="","",DATEDIF(tblEmployees[[#This Row],[Date of Birth]],TODAY(),"Y"))</f>
        <v>26</v>
      </c>
      <c r="H11" t="str">
        <f>IF(tblEmployees[[#This Row],[Date of Birth]]="","",TEXT(tblEmployees[[#This Row],[Date of Birth]],"mmmm"))</f>
        <v>April</v>
      </c>
      <c r="I11" s="1" t="s">
        <v>218</v>
      </c>
      <c r="J11" s="1" t="s">
        <v>418</v>
      </c>
      <c r="K11" t="s">
        <v>235</v>
      </c>
      <c r="L11" t="s">
        <v>72</v>
      </c>
      <c r="M11" s="25">
        <v>9880230922</v>
      </c>
      <c r="N11" s="25">
        <v>7026670519</v>
      </c>
      <c r="O11" s="25">
        <v>9341779992</v>
      </c>
      <c r="P11" s="25" t="s">
        <v>78</v>
      </c>
      <c r="Q11" t="s">
        <v>108</v>
      </c>
      <c r="R11" t="s">
        <v>241</v>
      </c>
      <c r="S11" t="s">
        <v>220</v>
      </c>
      <c r="T11" t="s">
        <v>220</v>
      </c>
      <c r="U11" t="s">
        <v>220</v>
      </c>
      <c r="V11" t="s">
        <v>172</v>
      </c>
      <c r="W11" t="s">
        <v>172</v>
      </c>
      <c r="X11" t="s">
        <v>312</v>
      </c>
      <c r="Y11">
        <f>SUBTOTAL(103,tblEmployees[[#This Row],[AON ID]])</f>
        <v>1</v>
      </c>
    </row>
    <row r="12" spans="1:25" x14ac:dyDescent="0.35">
      <c r="A12">
        <v>910985</v>
      </c>
      <c r="B12" t="s">
        <v>242</v>
      </c>
      <c r="C12" t="s">
        <v>223</v>
      </c>
      <c r="D12" s="24">
        <v>46216</v>
      </c>
      <c r="E12" s="32">
        <v>1</v>
      </c>
      <c r="F12" s="24">
        <v>35582</v>
      </c>
      <c r="G12" s="25">
        <f ca="1">IF(tblEmployees[[#This Row],[Date of Birth]]="","",DATEDIF(tblEmployees[[#This Row],[Date of Birth]],TODAY(),"Y"))</f>
        <v>29</v>
      </c>
      <c r="H12" t="str">
        <f>IF(tblEmployees[[#This Row],[Date of Birth]]="","",TEXT(tblEmployees[[#This Row],[Date of Birth]],"mmmm"))</f>
        <v>June</v>
      </c>
      <c r="I12" s="1" t="s">
        <v>218</v>
      </c>
      <c r="J12" s="1" t="s">
        <v>417</v>
      </c>
      <c r="K12" t="s">
        <v>235</v>
      </c>
      <c r="L12" t="s">
        <v>72</v>
      </c>
      <c r="M12" s="25">
        <v>7022728108</v>
      </c>
      <c r="N12" s="25">
        <v>7022728108</v>
      </c>
      <c r="O12" s="25">
        <v>9060092067</v>
      </c>
      <c r="P12" s="25" t="s">
        <v>76</v>
      </c>
      <c r="Q12" t="s">
        <v>98</v>
      </c>
      <c r="R12" t="s">
        <v>243</v>
      </c>
      <c r="S12" t="s">
        <v>220</v>
      </c>
      <c r="T12" t="s">
        <v>220</v>
      </c>
      <c r="U12" t="s">
        <v>220</v>
      </c>
      <c r="V12" t="s">
        <v>162</v>
      </c>
      <c r="W12" t="s">
        <v>162</v>
      </c>
      <c r="X12" t="s">
        <v>312</v>
      </c>
      <c r="Y12">
        <f>SUBTOTAL(103,tblEmployees[[#This Row],[AON ID]])</f>
        <v>1</v>
      </c>
    </row>
    <row r="13" spans="1:25" x14ac:dyDescent="0.35">
      <c r="A13">
        <v>910979</v>
      </c>
      <c r="B13" t="s">
        <v>36</v>
      </c>
      <c r="C13" t="s">
        <v>223</v>
      </c>
      <c r="D13" s="24">
        <v>46219</v>
      </c>
      <c r="E13" s="32">
        <v>1</v>
      </c>
      <c r="F13" s="24">
        <v>36604</v>
      </c>
      <c r="G13" s="25">
        <f ca="1">IF(tblEmployees[[#This Row],[Date of Birth]]="","",DATEDIF(tblEmployees[[#This Row],[Date of Birth]],TODAY(),"Y"))</f>
        <v>26</v>
      </c>
      <c r="H13" t="str">
        <f>IF(tblEmployees[[#This Row],[Date of Birth]]="","",TEXT(tblEmployees[[#This Row],[Date of Birth]],"mmmm"))</f>
        <v>March</v>
      </c>
      <c r="I13" s="1" t="s">
        <v>218</v>
      </c>
      <c r="J13" s="1" t="s">
        <v>418</v>
      </c>
      <c r="K13" t="s">
        <v>235</v>
      </c>
      <c r="L13" t="s">
        <v>72</v>
      </c>
      <c r="M13" s="25">
        <v>9380758585</v>
      </c>
      <c r="N13" s="25">
        <v>8073783794</v>
      </c>
      <c r="O13" s="25">
        <v>8073783794</v>
      </c>
      <c r="P13" s="25" t="s">
        <v>81</v>
      </c>
      <c r="Q13" t="s">
        <v>102</v>
      </c>
      <c r="R13" t="s">
        <v>244</v>
      </c>
      <c r="S13" t="s">
        <v>220</v>
      </c>
      <c r="T13" t="s">
        <v>220</v>
      </c>
      <c r="U13" t="s">
        <v>220</v>
      </c>
      <c r="V13" t="s">
        <v>166</v>
      </c>
      <c r="W13" t="s">
        <v>190</v>
      </c>
      <c r="X13" t="s">
        <v>312</v>
      </c>
      <c r="Y13">
        <f>SUBTOTAL(103,tblEmployees[[#This Row],[AON ID]])</f>
        <v>1</v>
      </c>
    </row>
    <row r="14" spans="1:25" x14ac:dyDescent="0.35">
      <c r="A14">
        <v>911139</v>
      </c>
      <c r="B14" t="s">
        <v>20</v>
      </c>
      <c r="C14" t="s">
        <v>223</v>
      </c>
      <c r="D14" s="24">
        <v>46219</v>
      </c>
      <c r="E14" s="32">
        <v>1</v>
      </c>
      <c r="F14" s="24">
        <v>36888</v>
      </c>
      <c r="G14" s="25">
        <f ca="1">IF(tblEmployees[[#This Row],[Date of Birth]]="","",DATEDIF(tblEmployees[[#This Row],[Date of Birth]],TODAY(),"Y"))</f>
        <v>25</v>
      </c>
      <c r="H14" t="str">
        <f>IF(tblEmployees[[#This Row],[Date of Birth]]="","",TEXT(tblEmployees[[#This Row],[Date of Birth]],"mmmm"))</f>
        <v>December</v>
      </c>
      <c r="I14" s="1" t="s">
        <v>218</v>
      </c>
      <c r="J14" s="1" t="s">
        <v>417</v>
      </c>
      <c r="K14" t="s">
        <v>235</v>
      </c>
      <c r="L14" t="s">
        <v>72</v>
      </c>
      <c r="M14" s="25">
        <v>9663226144</v>
      </c>
      <c r="N14" s="25">
        <v>9663226144</v>
      </c>
      <c r="O14" s="25">
        <v>8197674097</v>
      </c>
      <c r="P14" s="25" t="s">
        <v>75</v>
      </c>
      <c r="Q14" t="s">
        <v>94</v>
      </c>
      <c r="R14" t="s">
        <v>246</v>
      </c>
      <c r="S14" t="s">
        <v>220</v>
      </c>
      <c r="T14" t="s">
        <v>220</v>
      </c>
      <c r="U14" t="s">
        <v>220</v>
      </c>
      <c r="V14" t="s">
        <v>158</v>
      </c>
      <c r="W14" t="s">
        <v>158</v>
      </c>
      <c r="X14" t="s">
        <v>312</v>
      </c>
      <c r="Y14">
        <f>SUBTOTAL(103,tblEmployees[[#This Row],[AON ID]])</f>
        <v>1</v>
      </c>
    </row>
    <row r="15" spans="1:25" x14ac:dyDescent="0.35">
      <c r="A15">
        <v>911148</v>
      </c>
      <c r="B15" t="s">
        <v>18</v>
      </c>
      <c r="C15" t="s">
        <v>247</v>
      </c>
      <c r="D15" s="24">
        <v>46219</v>
      </c>
      <c r="E15" s="32">
        <v>1</v>
      </c>
      <c r="F15" s="24">
        <v>35293</v>
      </c>
      <c r="G15" s="25">
        <f ca="1">IF(tblEmployees[[#This Row],[Date of Birth]]="","",DATEDIF(tblEmployees[[#This Row],[Date of Birth]],TODAY(),"Y"))</f>
        <v>30</v>
      </c>
      <c r="H15" t="str">
        <f>IF(tblEmployees[[#This Row],[Date of Birth]]="","",TEXT(tblEmployees[[#This Row],[Date of Birth]],"mmmm"))</f>
        <v>August</v>
      </c>
      <c r="I15" s="1" t="s">
        <v>218</v>
      </c>
      <c r="J15" s="1" t="s">
        <v>417</v>
      </c>
      <c r="K15" t="s">
        <v>235</v>
      </c>
      <c r="L15" t="s">
        <v>72</v>
      </c>
      <c r="M15" s="25">
        <v>8056189917</v>
      </c>
      <c r="N15" s="25">
        <v>8946082954</v>
      </c>
      <c r="O15" s="25">
        <v>9442699347</v>
      </c>
      <c r="P15" s="25" t="s">
        <v>78</v>
      </c>
      <c r="Q15" t="s">
        <v>93</v>
      </c>
      <c r="R15" t="s">
        <v>356</v>
      </c>
      <c r="S15" t="s">
        <v>220</v>
      </c>
      <c r="T15" t="s">
        <v>220</v>
      </c>
      <c r="U15" t="s">
        <v>220</v>
      </c>
      <c r="V15" t="s">
        <v>157</v>
      </c>
      <c r="W15" t="s">
        <v>186</v>
      </c>
      <c r="X15" t="s">
        <v>312</v>
      </c>
      <c r="Y15">
        <f>SUBTOTAL(103,tblEmployees[[#This Row],[AON ID]])</f>
        <v>1</v>
      </c>
    </row>
    <row r="16" spans="1:25" x14ac:dyDescent="0.35">
      <c r="A16">
        <v>911158</v>
      </c>
      <c r="B16" t="s">
        <v>16</v>
      </c>
      <c r="C16" t="s">
        <v>240</v>
      </c>
      <c r="D16" s="24">
        <v>46219</v>
      </c>
      <c r="E16" s="32">
        <v>1</v>
      </c>
      <c r="F16" s="24">
        <v>36660</v>
      </c>
      <c r="G16" s="25">
        <f ca="1">IF(tblEmployees[[#This Row],[Date of Birth]]="","",DATEDIF(tblEmployees[[#This Row],[Date of Birth]],TODAY(),"Y"))</f>
        <v>26</v>
      </c>
      <c r="H16" t="str">
        <f>IF(tblEmployees[[#This Row],[Date of Birth]]="","",TEXT(tblEmployees[[#This Row],[Date of Birth]],"mmmm"))</f>
        <v>May</v>
      </c>
      <c r="I16" s="1" t="s">
        <v>218</v>
      </c>
      <c r="J16" s="1" t="s">
        <v>418</v>
      </c>
      <c r="K16" t="s">
        <v>235</v>
      </c>
      <c r="L16" t="s">
        <v>72</v>
      </c>
      <c r="M16" s="25">
        <v>8125836204</v>
      </c>
      <c r="N16" s="25">
        <v>8179218247</v>
      </c>
      <c r="O16" s="25">
        <v>8179218247</v>
      </c>
      <c r="P16" s="25" t="s">
        <v>75</v>
      </c>
      <c r="Q16" t="s">
        <v>92</v>
      </c>
      <c r="R16" t="s">
        <v>249</v>
      </c>
      <c r="S16" t="s">
        <v>220</v>
      </c>
      <c r="T16" t="s">
        <v>220</v>
      </c>
      <c r="U16" t="s">
        <v>220</v>
      </c>
      <c r="V16" t="s">
        <v>156</v>
      </c>
      <c r="W16" t="s">
        <v>185</v>
      </c>
      <c r="X16" t="s">
        <v>312</v>
      </c>
      <c r="Y16">
        <f>SUBTOTAL(103,tblEmployees[[#This Row],[AON ID]])</f>
        <v>1</v>
      </c>
    </row>
    <row r="17" spans="1:25" x14ac:dyDescent="0.35">
      <c r="A17">
        <v>911042</v>
      </c>
      <c r="B17" t="s">
        <v>65</v>
      </c>
      <c r="C17" t="s">
        <v>223</v>
      </c>
      <c r="D17" s="24">
        <v>46220</v>
      </c>
      <c r="E17" s="32">
        <v>1</v>
      </c>
      <c r="F17" s="24">
        <v>36693</v>
      </c>
      <c r="G17" s="25">
        <f ca="1">IF(tblEmployees[[#This Row],[Date of Birth]]="","",DATEDIF(tblEmployees[[#This Row],[Date of Birth]],TODAY(),"Y"))</f>
        <v>26</v>
      </c>
      <c r="H17" t="str">
        <f>IF(tblEmployees[[#This Row],[Date of Birth]]="","",TEXT(tblEmployees[[#This Row],[Date of Birth]],"mmmm"))</f>
        <v>June</v>
      </c>
      <c r="I17" s="1" t="s">
        <v>218</v>
      </c>
      <c r="J17" s="1" t="s">
        <v>418</v>
      </c>
      <c r="K17" t="s">
        <v>235</v>
      </c>
      <c r="L17" t="s">
        <v>72</v>
      </c>
      <c r="M17" s="25">
        <v>7676157630</v>
      </c>
      <c r="N17" s="25">
        <v>6303713432</v>
      </c>
      <c r="O17" s="25">
        <v>7780556385</v>
      </c>
      <c r="P17" s="25" t="s">
        <v>77</v>
      </c>
      <c r="Q17" t="s">
        <v>117</v>
      </c>
      <c r="R17" t="s">
        <v>251</v>
      </c>
      <c r="S17" t="s">
        <v>220</v>
      </c>
      <c r="T17" t="s">
        <v>220</v>
      </c>
      <c r="U17" t="s">
        <v>220</v>
      </c>
      <c r="V17" t="s">
        <v>181</v>
      </c>
      <c r="W17" t="s">
        <v>201</v>
      </c>
      <c r="X17" t="s">
        <v>312</v>
      </c>
      <c r="Y17">
        <f>SUBTOTAL(103,tblEmployees[[#This Row],[AON ID]])</f>
        <v>1</v>
      </c>
    </row>
    <row r="18" spans="1:25" x14ac:dyDescent="0.35">
      <c r="A18">
        <v>911100</v>
      </c>
      <c r="B18" t="s">
        <v>252</v>
      </c>
      <c r="C18" t="s">
        <v>223</v>
      </c>
      <c r="D18" s="24">
        <v>46220</v>
      </c>
      <c r="E18" s="32">
        <v>1</v>
      </c>
      <c r="F18" s="24">
        <v>35453</v>
      </c>
      <c r="G18" s="25">
        <f ca="1">IF(tblEmployees[[#This Row],[Date of Birth]]="","",DATEDIF(tblEmployees[[#This Row],[Date of Birth]],TODAY(),"Y"))</f>
        <v>29</v>
      </c>
      <c r="H18" t="str">
        <f>IF(tblEmployees[[#This Row],[Date of Birth]]="","",TEXT(tblEmployees[[#This Row],[Date of Birth]],"mmmm"))</f>
        <v>January</v>
      </c>
      <c r="I18" s="1" t="s">
        <v>218</v>
      </c>
      <c r="J18" s="1" t="s">
        <v>418</v>
      </c>
      <c r="K18" t="s">
        <v>235</v>
      </c>
      <c r="L18" t="s">
        <v>72</v>
      </c>
      <c r="M18" s="25">
        <v>9972228727</v>
      </c>
      <c r="N18" s="25">
        <v>7996900690</v>
      </c>
      <c r="O18" s="25">
        <v>9663860309</v>
      </c>
      <c r="P18" s="25" t="s">
        <v>77</v>
      </c>
      <c r="Q18" t="s">
        <v>89</v>
      </c>
      <c r="R18" t="s">
        <v>253</v>
      </c>
      <c r="S18" t="s">
        <v>220</v>
      </c>
      <c r="T18" t="s">
        <v>220</v>
      </c>
      <c r="U18" t="s">
        <v>220</v>
      </c>
      <c r="V18" t="s">
        <v>153</v>
      </c>
      <c r="W18" t="s">
        <v>153</v>
      </c>
      <c r="X18" t="s">
        <v>312</v>
      </c>
      <c r="Y18">
        <f>SUBTOTAL(103,tblEmployees[[#This Row],[AON ID]])</f>
        <v>1</v>
      </c>
    </row>
    <row r="19" spans="1:25" x14ac:dyDescent="0.35">
      <c r="A19">
        <v>911104</v>
      </c>
      <c r="B19" t="s">
        <v>255</v>
      </c>
      <c r="C19" t="s">
        <v>223</v>
      </c>
      <c r="D19" s="24">
        <v>46220</v>
      </c>
      <c r="E19" s="32">
        <v>1</v>
      </c>
      <c r="F19" s="24">
        <v>35824</v>
      </c>
      <c r="G19" s="25">
        <f ca="1">IF(tblEmployees[[#This Row],[Date of Birth]]="","",DATEDIF(tblEmployees[[#This Row],[Date of Birth]],TODAY(),"Y"))</f>
        <v>28</v>
      </c>
      <c r="H19" t="str">
        <f>IF(tblEmployees[[#This Row],[Date of Birth]]="","",TEXT(tblEmployees[[#This Row],[Date of Birth]],"mmmm"))</f>
        <v>January</v>
      </c>
      <c r="I19" s="1" t="s">
        <v>218</v>
      </c>
      <c r="J19" s="1" t="s">
        <v>418</v>
      </c>
      <c r="K19" t="s">
        <v>235</v>
      </c>
      <c r="L19" t="s">
        <v>72</v>
      </c>
      <c r="M19" s="25" t="s">
        <v>220</v>
      </c>
      <c r="N19" s="25"/>
      <c r="O19" s="25"/>
      <c r="P19" s="25"/>
      <c r="R19" t="s">
        <v>357</v>
      </c>
      <c r="S19" t="s">
        <v>220</v>
      </c>
      <c r="T19" t="s">
        <v>220</v>
      </c>
      <c r="U19" t="s">
        <v>220</v>
      </c>
      <c r="V19" t="s">
        <v>220</v>
      </c>
      <c r="X19" t="s">
        <v>311</v>
      </c>
      <c r="Y19">
        <f>SUBTOTAL(103,tblEmployees[[#This Row],[AON ID]])</f>
        <v>1</v>
      </c>
    </row>
    <row r="20" spans="1:25" x14ac:dyDescent="0.35">
      <c r="A20">
        <v>911105</v>
      </c>
      <c r="B20" t="s">
        <v>44</v>
      </c>
      <c r="C20" t="s">
        <v>223</v>
      </c>
      <c r="D20" s="24">
        <v>46220</v>
      </c>
      <c r="E20" s="32">
        <v>1</v>
      </c>
      <c r="F20" s="24">
        <v>36774</v>
      </c>
      <c r="G20" s="25">
        <f ca="1">IF(tblEmployees[[#This Row],[Date of Birth]]="","",DATEDIF(tblEmployees[[#This Row],[Date of Birth]],TODAY(),"Y"))</f>
        <v>26</v>
      </c>
      <c r="H20" t="str">
        <f>IF(tblEmployees[[#This Row],[Date of Birth]]="","",TEXT(tblEmployees[[#This Row],[Date of Birth]],"mmmm"))</f>
        <v>September</v>
      </c>
      <c r="I20" s="1" t="s">
        <v>218</v>
      </c>
      <c r="J20" s="1" t="s">
        <v>418</v>
      </c>
      <c r="K20" t="s">
        <v>235</v>
      </c>
      <c r="L20" t="s">
        <v>72</v>
      </c>
      <c r="M20" s="25">
        <v>8088264262</v>
      </c>
      <c r="N20" s="25">
        <v>8431449870</v>
      </c>
      <c r="O20" s="25">
        <v>8431449870</v>
      </c>
      <c r="P20" s="25" t="s">
        <v>77</v>
      </c>
      <c r="Q20" t="s">
        <v>106</v>
      </c>
      <c r="R20" t="s">
        <v>358</v>
      </c>
      <c r="S20" t="s">
        <v>220</v>
      </c>
      <c r="T20" t="s">
        <v>220</v>
      </c>
      <c r="U20" t="s">
        <v>220</v>
      </c>
      <c r="V20" t="s">
        <v>170</v>
      </c>
      <c r="W20" t="s">
        <v>192</v>
      </c>
      <c r="X20" t="s">
        <v>312</v>
      </c>
      <c r="Y20">
        <f>SUBTOTAL(103,tblEmployees[[#This Row],[AON ID]])</f>
        <v>1</v>
      </c>
    </row>
    <row r="21" spans="1:25" x14ac:dyDescent="0.35">
      <c r="A21">
        <v>911107</v>
      </c>
      <c r="B21" t="s">
        <v>260</v>
      </c>
      <c r="C21" t="s">
        <v>230</v>
      </c>
      <c r="D21" s="24">
        <v>46220</v>
      </c>
      <c r="E21" s="32">
        <v>1</v>
      </c>
      <c r="F21" s="24">
        <v>31369</v>
      </c>
      <c r="G21" s="25">
        <f ca="1">IF(tblEmployees[[#This Row],[Date of Birth]]="","",DATEDIF(tblEmployees[[#This Row],[Date of Birth]],TODAY(),"Y"))</f>
        <v>40</v>
      </c>
      <c r="H21" t="str">
        <f>IF(tblEmployees[[#This Row],[Date of Birth]]="","",TEXT(tblEmployees[[#This Row],[Date of Birth]],"mmmm"))</f>
        <v>November</v>
      </c>
      <c r="I21" s="1" t="s">
        <v>218</v>
      </c>
      <c r="J21" s="1" t="s">
        <v>417</v>
      </c>
      <c r="K21" t="s">
        <v>235</v>
      </c>
      <c r="L21" t="s">
        <v>72</v>
      </c>
      <c r="M21" s="25" t="s">
        <v>220</v>
      </c>
      <c r="N21" s="25"/>
      <c r="O21" s="25"/>
      <c r="P21" s="25"/>
      <c r="R21" t="s">
        <v>261</v>
      </c>
      <c r="S21" t="s">
        <v>220</v>
      </c>
      <c r="T21" t="s">
        <v>220</v>
      </c>
      <c r="U21" t="s">
        <v>220</v>
      </c>
      <c r="V21" t="s">
        <v>220</v>
      </c>
      <c r="X21" t="s">
        <v>311</v>
      </c>
      <c r="Y21">
        <f>SUBTOTAL(103,tblEmployees[[#This Row],[AON ID]])</f>
        <v>1</v>
      </c>
    </row>
    <row r="22" spans="1:25" x14ac:dyDescent="0.35">
      <c r="A22">
        <v>911147</v>
      </c>
      <c r="B22" t="s">
        <v>26</v>
      </c>
      <c r="C22" t="s">
        <v>223</v>
      </c>
      <c r="D22" s="24">
        <v>46220</v>
      </c>
      <c r="E22" s="32">
        <v>1</v>
      </c>
      <c r="F22" s="24">
        <v>35141</v>
      </c>
      <c r="G22" s="25">
        <f ca="1">IF(tblEmployees[[#This Row],[Date of Birth]]="","",DATEDIF(tblEmployees[[#This Row],[Date of Birth]],TODAY(),"Y"))</f>
        <v>30</v>
      </c>
      <c r="H22" t="str">
        <f>IF(tblEmployees[[#This Row],[Date of Birth]]="","",TEXT(tblEmployees[[#This Row],[Date of Birth]],"mmmm"))</f>
        <v>March</v>
      </c>
      <c r="I22" s="1" t="s">
        <v>218</v>
      </c>
      <c r="J22" s="1" t="s">
        <v>417</v>
      </c>
      <c r="K22" t="s">
        <v>235</v>
      </c>
      <c r="L22" t="s">
        <v>72</v>
      </c>
      <c r="M22" s="25">
        <v>9743457840</v>
      </c>
      <c r="N22" s="25">
        <v>7019596043</v>
      </c>
      <c r="O22" s="25">
        <v>8904475892</v>
      </c>
      <c r="P22" s="25" t="s">
        <v>75</v>
      </c>
      <c r="Q22" t="s">
        <v>97</v>
      </c>
      <c r="R22" t="s">
        <v>359</v>
      </c>
      <c r="S22" t="s">
        <v>220</v>
      </c>
      <c r="T22" t="s">
        <v>220</v>
      </c>
      <c r="U22" t="s">
        <v>220</v>
      </c>
      <c r="V22" t="s">
        <v>161</v>
      </c>
      <c r="W22" t="s">
        <v>161</v>
      </c>
      <c r="X22" t="s">
        <v>312</v>
      </c>
      <c r="Y22">
        <f>SUBTOTAL(103,tblEmployees[[#This Row],[AON ID]])</f>
        <v>1</v>
      </c>
    </row>
    <row r="23" spans="1:25" x14ac:dyDescent="0.35">
      <c r="A23">
        <v>911221</v>
      </c>
      <c r="B23" t="s">
        <v>58</v>
      </c>
      <c r="C23" t="s">
        <v>223</v>
      </c>
      <c r="D23" s="24">
        <v>46220</v>
      </c>
      <c r="E23" s="32">
        <v>1</v>
      </c>
      <c r="F23" s="24">
        <v>36195</v>
      </c>
      <c r="G23" s="25">
        <f ca="1">IF(tblEmployees[[#This Row],[Date of Birth]]="","",DATEDIF(tblEmployees[[#This Row],[Date of Birth]],TODAY(),"Y"))</f>
        <v>27</v>
      </c>
      <c r="H23" t="str">
        <f>IF(tblEmployees[[#This Row],[Date of Birth]]="","",TEXT(tblEmployees[[#This Row],[Date of Birth]],"mmmm"))</f>
        <v>February</v>
      </c>
      <c r="I23" s="1" t="s">
        <v>218</v>
      </c>
      <c r="J23" s="1" t="s">
        <v>418</v>
      </c>
      <c r="K23" t="s">
        <v>235</v>
      </c>
      <c r="L23" t="s">
        <v>72</v>
      </c>
      <c r="M23" s="25">
        <v>7619376918</v>
      </c>
      <c r="N23" s="25">
        <v>9632624763</v>
      </c>
      <c r="O23" s="25">
        <v>7022914079</v>
      </c>
      <c r="P23" s="25" t="s">
        <v>78</v>
      </c>
      <c r="Q23" t="s">
        <v>113</v>
      </c>
      <c r="R23" t="s">
        <v>264</v>
      </c>
      <c r="S23" t="s">
        <v>220</v>
      </c>
      <c r="T23" t="s">
        <v>220</v>
      </c>
      <c r="U23" t="s">
        <v>220</v>
      </c>
      <c r="V23" t="s">
        <v>177</v>
      </c>
      <c r="W23" t="s">
        <v>198</v>
      </c>
      <c r="X23" t="s">
        <v>312</v>
      </c>
      <c r="Y23">
        <f>SUBTOTAL(103,tblEmployees[[#This Row],[AON ID]])</f>
        <v>1</v>
      </c>
    </row>
    <row r="24" spans="1:25" x14ac:dyDescent="0.35">
      <c r="A24">
        <v>911308</v>
      </c>
      <c r="B24" t="s">
        <v>265</v>
      </c>
      <c r="C24" t="s">
        <v>223</v>
      </c>
      <c r="D24" s="24">
        <v>46220</v>
      </c>
      <c r="E24" s="32">
        <v>1</v>
      </c>
      <c r="F24" s="24">
        <v>35437</v>
      </c>
      <c r="G24" s="25">
        <f ca="1">IF(tblEmployees[[#This Row],[Date of Birth]]="","",DATEDIF(tblEmployees[[#This Row],[Date of Birth]],TODAY(),"Y"))</f>
        <v>29</v>
      </c>
      <c r="H24" t="str">
        <f>IF(tblEmployees[[#This Row],[Date of Birth]]="","",TEXT(tblEmployees[[#This Row],[Date of Birth]],"mmmm"))</f>
        <v>January</v>
      </c>
      <c r="I24" s="1" t="s">
        <v>218</v>
      </c>
      <c r="J24" s="1" t="s">
        <v>418</v>
      </c>
      <c r="K24" t="s">
        <v>235</v>
      </c>
      <c r="L24" t="s">
        <v>72</v>
      </c>
      <c r="M24" s="25">
        <v>9964634322</v>
      </c>
      <c r="N24" s="25">
        <v>8050897539</v>
      </c>
      <c r="O24" s="25">
        <v>8050897539</v>
      </c>
      <c r="P24" s="25" t="s">
        <v>77</v>
      </c>
      <c r="Q24" t="s">
        <v>107</v>
      </c>
      <c r="R24" t="s">
        <v>266</v>
      </c>
      <c r="S24" t="s">
        <v>220</v>
      </c>
      <c r="T24" t="s">
        <v>220</v>
      </c>
      <c r="U24" t="s">
        <v>220</v>
      </c>
      <c r="V24" t="s">
        <v>171</v>
      </c>
      <c r="W24" t="s">
        <v>193</v>
      </c>
      <c r="X24" t="s">
        <v>312</v>
      </c>
      <c r="Y24">
        <f>SUBTOTAL(103,tblEmployees[[#This Row],[AON ID]])</f>
        <v>1</v>
      </c>
    </row>
    <row r="25" spans="1:25" x14ac:dyDescent="0.35">
      <c r="A25">
        <v>911589</v>
      </c>
      <c r="B25" t="s">
        <v>50</v>
      </c>
      <c r="C25" t="s">
        <v>223</v>
      </c>
      <c r="D25" s="24">
        <v>46223</v>
      </c>
      <c r="E25" s="32">
        <v>1</v>
      </c>
      <c r="F25" s="24">
        <v>36867</v>
      </c>
      <c r="G25" s="25">
        <f ca="1">IF(tblEmployees[[#This Row],[Date of Birth]]="","",DATEDIF(tblEmployees[[#This Row],[Date of Birth]],TODAY(),"Y"))</f>
        <v>25</v>
      </c>
      <c r="H25" t="str">
        <f>IF(tblEmployees[[#This Row],[Date of Birth]]="","",TEXT(tblEmployees[[#This Row],[Date of Birth]],"mmmm"))</f>
        <v>December</v>
      </c>
      <c r="I25" s="1" t="s">
        <v>218</v>
      </c>
      <c r="J25" s="1" t="s">
        <v>418</v>
      </c>
      <c r="K25" t="s">
        <v>235</v>
      </c>
      <c r="L25" t="s">
        <v>72</v>
      </c>
      <c r="M25" s="25">
        <v>8660266155</v>
      </c>
      <c r="N25" s="25">
        <v>8123899839</v>
      </c>
      <c r="O25" s="25">
        <v>8123899839</v>
      </c>
      <c r="P25" s="25" t="s">
        <v>76</v>
      </c>
      <c r="Q25" t="s">
        <v>109</v>
      </c>
      <c r="R25" t="s">
        <v>267</v>
      </c>
      <c r="S25" t="s">
        <v>220</v>
      </c>
      <c r="T25" t="s">
        <v>220</v>
      </c>
      <c r="U25" t="s">
        <v>220</v>
      </c>
      <c r="V25" t="s">
        <v>173</v>
      </c>
      <c r="W25" t="s">
        <v>194</v>
      </c>
      <c r="X25" t="s">
        <v>312</v>
      </c>
      <c r="Y25">
        <f>SUBTOTAL(103,tblEmployees[[#This Row],[AON ID]])</f>
        <v>1</v>
      </c>
    </row>
    <row r="26" spans="1:25" x14ac:dyDescent="0.35">
      <c r="A26">
        <v>911599</v>
      </c>
      <c r="B26" t="s">
        <v>32</v>
      </c>
      <c r="C26" t="s">
        <v>230</v>
      </c>
      <c r="D26" s="24">
        <v>46223</v>
      </c>
      <c r="E26" s="32">
        <v>1</v>
      </c>
      <c r="F26" s="24">
        <v>29345</v>
      </c>
      <c r="G26" s="25">
        <f ca="1">IF(tblEmployees[[#This Row],[Date of Birth]]="","",DATEDIF(tblEmployees[[#This Row],[Date of Birth]],TODAY(),"Y"))</f>
        <v>46</v>
      </c>
      <c r="H26" t="str">
        <f>IF(tblEmployees[[#This Row],[Date of Birth]]="","",TEXT(tblEmployees[[#This Row],[Date of Birth]],"mmmm"))</f>
        <v>May</v>
      </c>
      <c r="I26" s="1" t="s">
        <v>218</v>
      </c>
      <c r="J26" s="1" t="s">
        <v>417</v>
      </c>
      <c r="K26" t="s">
        <v>235</v>
      </c>
      <c r="L26" t="s">
        <v>72</v>
      </c>
      <c r="M26" s="25">
        <v>9886988855</v>
      </c>
      <c r="N26" s="25">
        <v>7448588855</v>
      </c>
      <c r="O26" s="25">
        <v>6379946246</v>
      </c>
      <c r="P26" s="25" t="s">
        <v>76</v>
      </c>
      <c r="Q26" t="s">
        <v>100</v>
      </c>
      <c r="R26" t="s">
        <v>360</v>
      </c>
      <c r="S26" t="s">
        <v>220</v>
      </c>
      <c r="T26" t="s">
        <v>220</v>
      </c>
      <c r="U26" t="s">
        <v>220</v>
      </c>
      <c r="V26" t="s">
        <v>164</v>
      </c>
      <c r="W26" t="s">
        <v>189</v>
      </c>
      <c r="X26" t="s">
        <v>312</v>
      </c>
      <c r="Y26">
        <f>SUBTOTAL(103,tblEmployees[[#This Row],[AON ID]])</f>
        <v>1</v>
      </c>
    </row>
    <row r="27" spans="1:25" x14ac:dyDescent="0.35">
      <c r="A27">
        <v>911600</v>
      </c>
      <c r="B27" t="s">
        <v>350</v>
      </c>
      <c r="C27" t="s">
        <v>223</v>
      </c>
      <c r="D27" s="24">
        <v>46223</v>
      </c>
      <c r="E27" s="32">
        <v>1</v>
      </c>
      <c r="F27" s="24">
        <v>36530</v>
      </c>
      <c r="G27" s="25">
        <f ca="1">IF(tblEmployees[[#This Row],[Date of Birth]]="","",DATEDIF(tblEmployees[[#This Row],[Date of Birth]],TODAY(),"Y"))</f>
        <v>26</v>
      </c>
      <c r="H27" t="str">
        <f>IF(tblEmployees[[#This Row],[Date of Birth]]="","",TEXT(tblEmployees[[#This Row],[Date of Birth]],"mmmm"))</f>
        <v>January</v>
      </c>
      <c r="I27" s="1" t="s">
        <v>218</v>
      </c>
      <c r="J27" s="1" t="s">
        <v>418</v>
      </c>
      <c r="K27" t="s">
        <v>235</v>
      </c>
      <c r="L27" t="s">
        <v>72</v>
      </c>
      <c r="M27" s="25">
        <v>8779689309</v>
      </c>
      <c r="N27" s="25">
        <v>7039210208</v>
      </c>
      <c r="O27" s="25">
        <v>9326010754</v>
      </c>
      <c r="P27" s="25" t="s">
        <v>74</v>
      </c>
      <c r="Q27" t="s">
        <v>116</v>
      </c>
      <c r="R27" t="s">
        <v>361</v>
      </c>
      <c r="S27" t="s">
        <v>220</v>
      </c>
      <c r="T27" t="s">
        <v>220</v>
      </c>
      <c r="U27" t="s">
        <v>220</v>
      </c>
      <c r="V27" t="s">
        <v>180</v>
      </c>
      <c r="W27" t="s">
        <v>200</v>
      </c>
      <c r="X27" t="s">
        <v>312</v>
      </c>
      <c r="Y27">
        <f>SUBTOTAL(103,tblEmployees[[#This Row],[AON ID]])</f>
        <v>1</v>
      </c>
    </row>
    <row r="28" spans="1:25" x14ac:dyDescent="0.35">
      <c r="A28">
        <v>911601</v>
      </c>
      <c r="B28" t="s">
        <v>351</v>
      </c>
      <c r="C28" t="s">
        <v>223</v>
      </c>
      <c r="D28" s="24">
        <v>46223</v>
      </c>
      <c r="E28" s="32">
        <v>1</v>
      </c>
      <c r="F28" s="24">
        <v>34307</v>
      </c>
      <c r="G28" s="25">
        <f ca="1">IF(tblEmployees[[#This Row],[Date of Birth]]="","",DATEDIF(tblEmployees[[#This Row],[Date of Birth]],TODAY(),"Y"))</f>
        <v>32</v>
      </c>
      <c r="H28" t="str">
        <f>IF(tblEmployees[[#This Row],[Date of Birth]]="","",TEXT(tblEmployees[[#This Row],[Date of Birth]],"mmmm"))</f>
        <v>December</v>
      </c>
      <c r="I28" s="1" t="s">
        <v>218</v>
      </c>
      <c r="J28" s="1" t="s">
        <v>417</v>
      </c>
      <c r="K28" t="s">
        <v>235</v>
      </c>
      <c r="L28" t="s">
        <v>72</v>
      </c>
      <c r="M28" s="25" t="s">
        <v>220</v>
      </c>
      <c r="N28" s="25"/>
      <c r="O28" s="25"/>
      <c r="P28" s="25"/>
      <c r="R28" t="s">
        <v>362</v>
      </c>
      <c r="S28" t="s">
        <v>220</v>
      </c>
      <c r="T28" t="s">
        <v>220</v>
      </c>
      <c r="U28" t="s">
        <v>220</v>
      </c>
      <c r="V28" t="s">
        <v>220</v>
      </c>
      <c r="X28" t="s">
        <v>311</v>
      </c>
      <c r="Y28">
        <f>SUBTOTAL(103,tblEmployees[[#This Row],[AON ID]])</f>
        <v>1</v>
      </c>
    </row>
    <row r="29" spans="1:25" x14ac:dyDescent="0.35">
      <c r="A29">
        <v>910980</v>
      </c>
      <c r="B29" t="s">
        <v>145</v>
      </c>
      <c r="C29" t="s">
        <v>223</v>
      </c>
      <c r="D29" s="24">
        <v>46219</v>
      </c>
      <c r="E29" s="32">
        <v>1</v>
      </c>
      <c r="F29" s="24">
        <v>32512</v>
      </c>
      <c r="G29" s="25">
        <f ca="1">IF(tblEmployees[[#This Row],[Date of Birth]]="","",DATEDIF(tblEmployees[[#This Row],[Date of Birth]],TODAY(),"Y"))</f>
        <v>37</v>
      </c>
      <c r="H29" t="str">
        <f>IF(tblEmployees[[#This Row],[Date of Birth]]="","",TEXT(tblEmployees[[#This Row],[Date of Birth]],"mmmm"))</f>
        <v>January</v>
      </c>
      <c r="I29" s="1" t="s">
        <v>218</v>
      </c>
      <c r="J29" s="1" t="s">
        <v>417</v>
      </c>
      <c r="K29" t="s">
        <v>278</v>
      </c>
      <c r="L29" t="s">
        <v>72</v>
      </c>
      <c r="M29" s="25">
        <v>7975425816</v>
      </c>
      <c r="N29" s="25">
        <v>9945015434</v>
      </c>
      <c r="O29" s="25">
        <v>7483671162</v>
      </c>
      <c r="P29" s="25" t="s">
        <v>75</v>
      </c>
      <c r="Q29" t="s">
        <v>146</v>
      </c>
      <c r="R29" t="s">
        <v>363</v>
      </c>
      <c r="S29" t="s">
        <v>220</v>
      </c>
      <c r="T29" t="s">
        <v>220</v>
      </c>
      <c r="U29" t="s">
        <v>220</v>
      </c>
      <c r="V29" t="s">
        <v>182</v>
      </c>
      <c r="W29" t="s">
        <v>182</v>
      </c>
      <c r="X29" t="s">
        <v>312</v>
      </c>
      <c r="Y29">
        <f>SUBTOTAL(103,tblEmployees[[#This Row],[AON ID]])</f>
        <v>1</v>
      </c>
    </row>
    <row r="30" spans="1:25" x14ac:dyDescent="0.35">
      <c r="A30">
        <v>911307</v>
      </c>
      <c r="B30" t="s">
        <v>280</v>
      </c>
      <c r="C30" t="s">
        <v>223</v>
      </c>
      <c r="D30" s="24">
        <v>46220</v>
      </c>
      <c r="E30" s="32">
        <v>1</v>
      </c>
      <c r="F30" s="24">
        <v>34403</v>
      </c>
      <c r="G30" s="25">
        <f ca="1">IF(tblEmployees[[#This Row],[Date of Birth]]="","",DATEDIF(tblEmployees[[#This Row],[Date of Birth]],TODAY(),"Y"))</f>
        <v>32</v>
      </c>
      <c r="H30" t="str">
        <f>IF(tblEmployees[[#This Row],[Date of Birth]]="","",TEXT(tblEmployees[[#This Row],[Date of Birth]],"mmmm"))</f>
        <v>March</v>
      </c>
      <c r="I30" s="1" t="s">
        <v>218</v>
      </c>
      <c r="J30" s="1" t="s">
        <v>418</v>
      </c>
      <c r="K30" t="s">
        <v>278</v>
      </c>
      <c r="L30" t="s">
        <v>62</v>
      </c>
      <c r="M30" s="25">
        <v>8296314367</v>
      </c>
      <c r="N30" s="25">
        <v>7676712279</v>
      </c>
      <c r="O30" s="25">
        <v>7676712279</v>
      </c>
      <c r="P30" s="25" t="s">
        <v>77</v>
      </c>
      <c r="Q30" t="s">
        <v>112</v>
      </c>
      <c r="R30" t="s">
        <v>281</v>
      </c>
      <c r="S30" t="s">
        <v>220</v>
      </c>
      <c r="T30" t="s">
        <v>220</v>
      </c>
      <c r="U30" t="s">
        <v>220</v>
      </c>
      <c r="V30" t="s">
        <v>176</v>
      </c>
      <c r="W30" t="s">
        <v>197</v>
      </c>
      <c r="X30" t="s">
        <v>312</v>
      </c>
      <c r="Y30">
        <f>SUBTOTAL(103,tblEmployees[[#This Row],[AON ID]])</f>
        <v>1</v>
      </c>
    </row>
    <row r="31" spans="1:25" x14ac:dyDescent="0.35">
      <c r="A31">
        <v>911654</v>
      </c>
      <c r="B31" t="s">
        <v>52</v>
      </c>
      <c r="C31" t="s">
        <v>240</v>
      </c>
      <c r="D31" s="24">
        <v>46226</v>
      </c>
      <c r="E31" s="32">
        <v>1</v>
      </c>
      <c r="F31" s="24">
        <v>36939</v>
      </c>
      <c r="G31" s="25">
        <f ca="1">IF(tblEmployees[[#This Row],[Date of Birth]]="","",DATEDIF(tblEmployees[[#This Row],[Date of Birth]],TODAY(),"Y"))</f>
        <v>25</v>
      </c>
      <c r="H31" t="str">
        <f>IF(tblEmployees[[#This Row],[Date of Birth]]="","",TEXT(tblEmployees[[#This Row],[Date of Birth]],"mmmm"))</f>
        <v>February</v>
      </c>
      <c r="I31" s="1" t="s">
        <v>218</v>
      </c>
      <c r="J31" s="1" t="s">
        <v>418</v>
      </c>
      <c r="K31" t="s">
        <v>278</v>
      </c>
      <c r="L31" t="s">
        <v>72</v>
      </c>
      <c r="M31" s="25">
        <v>9980615720</v>
      </c>
      <c r="N31" s="25">
        <v>9148785720</v>
      </c>
      <c r="O31" s="25">
        <v>9611962729</v>
      </c>
      <c r="P31" s="25" t="s">
        <v>75</v>
      </c>
      <c r="Q31" t="s">
        <v>110</v>
      </c>
      <c r="R31" t="s">
        <v>282</v>
      </c>
      <c r="S31" t="s">
        <v>220</v>
      </c>
      <c r="T31" t="s">
        <v>220</v>
      </c>
      <c r="U31" t="s">
        <v>220</v>
      </c>
      <c r="V31" t="s">
        <v>174</v>
      </c>
      <c r="W31" t="s">
        <v>195</v>
      </c>
      <c r="X31" t="s">
        <v>312</v>
      </c>
      <c r="Y31">
        <f>SUBTOTAL(103,tblEmployees[[#This Row],[AON ID]])</f>
        <v>1</v>
      </c>
    </row>
    <row r="32" spans="1:25" x14ac:dyDescent="0.35">
      <c r="A32">
        <v>912438</v>
      </c>
      <c r="B32" t="s">
        <v>284</v>
      </c>
      <c r="C32" t="s">
        <v>230</v>
      </c>
      <c r="D32" s="24">
        <v>46237</v>
      </c>
      <c r="E32" s="32">
        <v>1</v>
      </c>
      <c r="F32" s="24">
        <v>36297</v>
      </c>
      <c r="G32" s="25">
        <f ca="1">IF(tblEmployees[[#This Row],[Date of Birth]]="","",DATEDIF(tblEmployees[[#This Row],[Date of Birth]],TODAY(),"Y"))</f>
        <v>27</v>
      </c>
      <c r="H32" t="str">
        <f>IF(tblEmployees[[#This Row],[Date of Birth]]="","",TEXT(tblEmployees[[#This Row],[Date of Birth]],"mmmm"))</f>
        <v>May</v>
      </c>
      <c r="I32" s="1" t="s">
        <v>218</v>
      </c>
      <c r="J32" s="1" t="s">
        <v>417</v>
      </c>
      <c r="K32" t="s">
        <v>278</v>
      </c>
      <c r="L32" t="s">
        <v>62</v>
      </c>
      <c r="M32" s="25">
        <v>7337612703</v>
      </c>
      <c r="N32" s="25">
        <v>9632135385</v>
      </c>
      <c r="O32" s="25">
        <v>9632135385</v>
      </c>
      <c r="P32" s="25" t="s">
        <v>75</v>
      </c>
      <c r="Q32" t="s">
        <v>87</v>
      </c>
      <c r="R32" t="s">
        <v>285</v>
      </c>
      <c r="S32" t="s">
        <v>220</v>
      </c>
      <c r="T32" t="s">
        <v>220</v>
      </c>
      <c r="U32" t="s">
        <v>220</v>
      </c>
      <c r="V32" t="s">
        <v>151</v>
      </c>
      <c r="W32" t="s">
        <v>151</v>
      </c>
      <c r="X32" t="s">
        <v>312</v>
      </c>
      <c r="Y32">
        <f>SUBTOTAL(103,tblEmployees[[#This Row],[AON ID]])</f>
        <v>1</v>
      </c>
    </row>
    <row r="33" spans="1:25" x14ac:dyDescent="0.35">
      <c r="A33">
        <v>913359</v>
      </c>
      <c r="B33" t="s">
        <v>2</v>
      </c>
      <c r="C33" t="s">
        <v>230</v>
      </c>
      <c r="D33" s="24">
        <v>46251</v>
      </c>
      <c r="E33" s="32">
        <v>1</v>
      </c>
      <c r="F33" s="27">
        <v>33270</v>
      </c>
      <c r="G33" s="25">
        <f ca="1">IF(tblEmployees[[#This Row],[Date of Birth]]="","",DATEDIF(tblEmployees[[#This Row],[Date of Birth]],TODAY(),"Y"))</f>
        <v>35</v>
      </c>
      <c r="H33" t="str">
        <f>IF(tblEmployees[[#This Row],[Date of Birth]]="","",TEXT(tblEmployees[[#This Row],[Date of Birth]],"mmmm"))</f>
        <v>February</v>
      </c>
      <c r="I33" s="1" t="s">
        <v>218</v>
      </c>
      <c r="J33" s="1" t="s">
        <v>417</v>
      </c>
      <c r="K33" t="s">
        <v>278</v>
      </c>
      <c r="L33" t="s">
        <v>62</v>
      </c>
      <c r="M33" s="25">
        <v>9880761222</v>
      </c>
      <c r="N33" s="25">
        <v>9945836655</v>
      </c>
      <c r="O33" s="25">
        <v>7996111711</v>
      </c>
      <c r="P33" s="25" t="s">
        <v>73</v>
      </c>
      <c r="Q33" t="s">
        <v>85</v>
      </c>
      <c r="R33" t="s">
        <v>286</v>
      </c>
      <c r="S33" t="s">
        <v>220</v>
      </c>
      <c r="T33" t="s">
        <v>287</v>
      </c>
      <c r="U33" t="s">
        <v>287</v>
      </c>
      <c r="V33" t="s">
        <v>149</v>
      </c>
      <c r="W33" t="s">
        <v>149</v>
      </c>
      <c r="X33" t="s">
        <v>312</v>
      </c>
      <c r="Y33">
        <f>SUBTOTAL(103,tblEmployees[[#This Row],[AON ID]])</f>
        <v>1</v>
      </c>
    </row>
    <row r="34" spans="1:25" x14ac:dyDescent="0.35">
      <c r="A34">
        <v>910986</v>
      </c>
      <c r="B34" t="s">
        <v>38</v>
      </c>
      <c r="C34" t="s">
        <v>230</v>
      </c>
      <c r="D34" s="24">
        <v>46216</v>
      </c>
      <c r="E34" s="32">
        <v>2</v>
      </c>
      <c r="F34" s="27">
        <v>34420</v>
      </c>
      <c r="G34" s="25">
        <f ca="1">IF(tblEmployees[[#This Row],[Date of Birth]]="","",DATEDIF(tblEmployees[[#This Row],[Date of Birth]],TODAY(),"Y"))</f>
        <v>32</v>
      </c>
      <c r="H34" t="str">
        <f>IF(tblEmployees[[#This Row],[Date of Birth]]="","",TEXT(tblEmployees[[#This Row],[Date of Birth]],"mmmm"))</f>
        <v>March</v>
      </c>
      <c r="I34" s="1" t="s">
        <v>218</v>
      </c>
      <c r="J34" s="1" t="s">
        <v>417</v>
      </c>
      <c r="K34" t="s">
        <v>288</v>
      </c>
      <c r="L34" t="s">
        <v>62</v>
      </c>
      <c r="M34" s="25">
        <v>7411235572</v>
      </c>
      <c r="N34" s="25">
        <v>8217370089</v>
      </c>
      <c r="O34" s="25">
        <v>9008801652</v>
      </c>
      <c r="P34" s="25" t="s">
        <v>78</v>
      </c>
      <c r="Q34" t="s">
        <v>103</v>
      </c>
      <c r="R34" t="s">
        <v>289</v>
      </c>
      <c r="S34" t="s">
        <v>220</v>
      </c>
      <c r="T34" t="s">
        <v>220</v>
      </c>
      <c r="U34" t="s">
        <v>220</v>
      </c>
      <c r="V34" t="s">
        <v>167</v>
      </c>
      <c r="W34" t="s">
        <v>167</v>
      </c>
      <c r="X34" t="s">
        <v>312</v>
      </c>
      <c r="Y34">
        <f>SUBTOTAL(103,tblEmployees[[#This Row],[AON ID]])</f>
        <v>1</v>
      </c>
    </row>
    <row r="35" spans="1:25" x14ac:dyDescent="0.35">
      <c r="A35">
        <v>911057</v>
      </c>
      <c r="B35" t="s">
        <v>24</v>
      </c>
      <c r="C35" t="s">
        <v>230</v>
      </c>
      <c r="D35" s="24">
        <v>46219</v>
      </c>
      <c r="E35" s="32">
        <v>2</v>
      </c>
      <c r="F35" s="27">
        <v>35359</v>
      </c>
      <c r="G35" s="25">
        <f ca="1">IF(tblEmployees[[#This Row],[Date of Birth]]="","",DATEDIF(tblEmployees[[#This Row],[Date of Birth]],TODAY(),"Y"))</f>
        <v>29</v>
      </c>
      <c r="H35" t="str">
        <f>IF(tblEmployees[[#This Row],[Date of Birth]]="","",TEXT(tblEmployees[[#This Row],[Date of Birth]],"mmmm"))</f>
        <v>October</v>
      </c>
      <c r="I35" s="1" t="s">
        <v>218</v>
      </c>
      <c r="J35" s="1" t="s">
        <v>417</v>
      </c>
      <c r="K35" t="s">
        <v>288</v>
      </c>
      <c r="L35" t="s">
        <v>62</v>
      </c>
      <c r="M35" s="25">
        <v>9187037993</v>
      </c>
      <c r="N35" s="25">
        <v>9743803197</v>
      </c>
      <c r="O35" s="25">
        <v>9535040771</v>
      </c>
      <c r="P35" s="25" t="s">
        <v>79</v>
      </c>
      <c r="Q35" t="s">
        <v>96</v>
      </c>
      <c r="R35" t="s">
        <v>364</v>
      </c>
      <c r="S35" t="s">
        <v>220</v>
      </c>
      <c r="T35" t="s">
        <v>220</v>
      </c>
      <c r="U35" t="s">
        <v>220</v>
      </c>
      <c r="V35" t="s">
        <v>160</v>
      </c>
      <c r="W35" t="s">
        <v>187</v>
      </c>
      <c r="X35" t="s">
        <v>312</v>
      </c>
      <c r="Y35">
        <f>SUBTOTAL(103,tblEmployees[[#This Row],[AON ID]])</f>
        <v>1</v>
      </c>
    </row>
    <row r="36" spans="1:25" x14ac:dyDescent="0.35">
      <c r="A36">
        <v>911089</v>
      </c>
      <c r="B36" t="s">
        <v>292</v>
      </c>
      <c r="C36" t="s">
        <v>240</v>
      </c>
      <c r="D36" s="24">
        <v>46219</v>
      </c>
      <c r="E36" s="32">
        <v>2</v>
      </c>
      <c r="F36" s="27">
        <v>37340</v>
      </c>
      <c r="G36" s="25">
        <f ca="1">IF(tblEmployees[[#This Row],[Date of Birth]]="","",DATEDIF(tblEmployees[[#This Row],[Date of Birth]],TODAY(),"Y"))</f>
        <v>24</v>
      </c>
      <c r="H36" t="str">
        <f>IF(tblEmployees[[#This Row],[Date of Birth]]="","",TEXT(tblEmployees[[#This Row],[Date of Birth]],"mmmm"))</f>
        <v>March</v>
      </c>
      <c r="I36" s="1" t="s">
        <v>218</v>
      </c>
      <c r="J36" s="1" t="s">
        <v>417</v>
      </c>
      <c r="K36" t="s">
        <v>288</v>
      </c>
      <c r="L36" t="s">
        <v>62</v>
      </c>
      <c r="M36" s="25">
        <v>7995645630</v>
      </c>
      <c r="N36" s="25">
        <v>9849053221</v>
      </c>
      <c r="O36" s="25">
        <v>9849053221</v>
      </c>
      <c r="P36" s="25" t="s">
        <v>78</v>
      </c>
      <c r="Q36" t="s">
        <v>90</v>
      </c>
      <c r="R36" t="s">
        <v>293</v>
      </c>
      <c r="S36" t="s">
        <v>220</v>
      </c>
      <c r="T36" t="s">
        <v>220</v>
      </c>
      <c r="U36" t="s">
        <v>220</v>
      </c>
      <c r="V36" t="s">
        <v>154</v>
      </c>
      <c r="W36" t="s">
        <v>184</v>
      </c>
      <c r="X36" t="s">
        <v>312</v>
      </c>
      <c r="Y36">
        <f>SUBTOTAL(103,tblEmployees[[#This Row],[AON ID]])</f>
        <v>1</v>
      </c>
    </row>
    <row r="37" spans="1:25" x14ac:dyDescent="0.35">
      <c r="A37">
        <v>910993</v>
      </c>
      <c r="B37" t="s">
        <v>22</v>
      </c>
      <c r="C37" t="s">
        <v>223</v>
      </c>
      <c r="D37" s="24">
        <v>46220</v>
      </c>
      <c r="E37" s="32">
        <v>2</v>
      </c>
      <c r="F37" s="27">
        <v>35961</v>
      </c>
      <c r="G37" s="25">
        <f ca="1">IF(tblEmployees[[#This Row],[Date of Birth]]="","",DATEDIF(tblEmployees[[#This Row],[Date of Birth]],TODAY(),"Y"))</f>
        <v>28</v>
      </c>
      <c r="H37" t="str">
        <f>IF(tblEmployees[[#This Row],[Date of Birth]]="","",TEXT(tblEmployees[[#This Row],[Date of Birth]],"mmmm"))</f>
        <v>June</v>
      </c>
      <c r="I37" s="1" t="s">
        <v>218</v>
      </c>
      <c r="J37" s="1" t="s">
        <v>417</v>
      </c>
      <c r="K37" t="s">
        <v>288</v>
      </c>
      <c r="L37" t="s">
        <v>62</v>
      </c>
      <c r="M37" s="25">
        <v>9036712224</v>
      </c>
      <c r="N37" s="25">
        <v>9663632336</v>
      </c>
      <c r="O37" s="25">
        <v>9663632336</v>
      </c>
      <c r="P37" s="25" t="s">
        <v>78</v>
      </c>
      <c r="Q37" t="s">
        <v>95</v>
      </c>
      <c r="R37" t="s">
        <v>294</v>
      </c>
      <c r="S37" t="s">
        <v>220</v>
      </c>
      <c r="T37" t="s">
        <v>220</v>
      </c>
      <c r="U37" t="s">
        <v>220</v>
      </c>
      <c r="V37" t="s">
        <v>159</v>
      </c>
      <c r="W37" t="s">
        <v>159</v>
      </c>
      <c r="X37" t="s">
        <v>312</v>
      </c>
      <c r="Y37">
        <f>SUBTOTAL(103,tblEmployees[[#This Row],[AON ID]])</f>
        <v>1</v>
      </c>
    </row>
    <row r="38" spans="1:25" x14ac:dyDescent="0.35">
      <c r="A38">
        <v>911413</v>
      </c>
      <c r="B38" t="s">
        <v>54</v>
      </c>
      <c r="C38" t="s">
        <v>223</v>
      </c>
      <c r="D38" s="24">
        <v>46220</v>
      </c>
      <c r="E38" s="32">
        <v>2</v>
      </c>
      <c r="F38" s="27">
        <v>34093</v>
      </c>
      <c r="G38" s="25">
        <f ca="1">IF(tblEmployees[[#This Row],[Date of Birth]]="","",DATEDIF(tblEmployees[[#This Row],[Date of Birth]],TODAY(),"Y"))</f>
        <v>33</v>
      </c>
      <c r="H38" t="str">
        <f>IF(tblEmployees[[#This Row],[Date of Birth]]="","",TEXT(tblEmployees[[#This Row],[Date of Birth]],"mmmm"))</f>
        <v>May</v>
      </c>
      <c r="I38" s="1" t="s">
        <v>218</v>
      </c>
      <c r="J38" s="1" t="s">
        <v>417</v>
      </c>
      <c r="K38" t="s">
        <v>288</v>
      </c>
      <c r="L38" t="s">
        <v>62</v>
      </c>
      <c r="M38" s="25">
        <v>9741299891</v>
      </c>
      <c r="N38" s="25">
        <v>8123031998</v>
      </c>
      <c r="O38" s="25">
        <v>8197116524</v>
      </c>
      <c r="P38" s="25" t="s">
        <v>81</v>
      </c>
      <c r="Q38" t="s">
        <v>111</v>
      </c>
      <c r="R38" t="s">
        <v>295</v>
      </c>
      <c r="S38" t="s">
        <v>220</v>
      </c>
      <c r="T38" t="s">
        <v>220</v>
      </c>
      <c r="U38" t="s">
        <v>220</v>
      </c>
      <c r="V38" t="s">
        <v>175</v>
      </c>
      <c r="W38" t="s">
        <v>196</v>
      </c>
      <c r="X38" t="s">
        <v>312</v>
      </c>
      <c r="Y38">
        <f>SUBTOTAL(103,tblEmployees[[#This Row],[AON ID]])</f>
        <v>1</v>
      </c>
    </row>
    <row r="39" spans="1:25" x14ac:dyDescent="0.35">
      <c r="A39">
        <v>912036</v>
      </c>
      <c r="B39" t="s">
        <v>296</v>
      </c>
      <c r="C39" t="s">
        <v>223</v>
      </c>
      <c r="D39" s="24">
        <v>46230</v>
      </c>
      <c r="E39" s="32">
        <v>2</v>
      </c>
      <c r="F39" s="27">
        <v>33857</v>
      </c>
      <c r="G39" s="25">
        <f ca="1">IF(tblEmployees[[#This Row],[Date of Birth]]="","",DATEDIF(tblEmployees[[#This Row],[Date of Birth]],TODAY(),"Y"))</f>
        <v>34</v>
      </c>
      <c r="H39" t="str">
        <f>IF(tblEmployees[[#This Row],[Date of Birth]]="","",TEXT(tblEmployees[[#This Row],[Date of Birth]],"mmmm"))</f>
        <v>September</v>
      </c>
      <c r="I39" s="1" t="s">
        <v>218</v>
      </c>
      <c r="J39" s="1" t="s">
        <v>417</v>
      </c>
      <c r="K39" t="s">
        <v>288</v>
      </c>
      <c r="L39" t="s">
        <v>62</v>
      </c>
      <c r="M39" s="25">
        <v>8754811018</v>
      </c>
      <c r="N39" s="25">
        <v>9626392101</v>
      </c>
      <c r="O39" s="25">
        <v>9655912148</v>
      </c>
      <c r="P39" s="25" t="s">
        <v>74</v>
      </c>
      <c r="Q39" t="s">
        <v>86</v>
      </c>
      <c r="R39" t="s">
        <v>297</v>
      </c>
      <c r="S39" t="s">
        <v>220</v>
      </c>
      <c r="T39" t="s">
        <v>220</v>
      </c>
      <c r="U39" t="s">
        <v>220</v>
      </c>
      <c r="V39" t="s">
        <v>150</v>
      </c>
      <c r="W39" t="s">
        <v>183</v>
      </c>
      <c r="X39" t="s">
        <v>312</v>
      </c>
      <c r="Y39">
        <f>SUBTOTAL(103,tblEmployees[[#This Row],[AON ID]])</f>
        <v>1</v>
      </c>
    </row>
    <row r="40" spans="1:25" x14ac:dyDescent="0.35">
      <c r="A40">
        <v>906974</v>
      </c>
      <c r="B40" t="s">
        <v>62</v>
      </c>
      <c r="C40" t="s">
        <v>298</v>
      </c>
      <c r="D40" s="24">
        <v>46184</v>
      </c>
      <c r="E40" s="32">
        <v>1</v>
      </c>
      <c r="F40" s="27">
        <v>29950</v>
      </c>
      <c r="G40" s="25">
        <f ca="1">IF(tblEmployees[[#This Row],[Date of Birth]]="","",DATEDIF(tblEmployees[[#This Row],[Date of Birth]],TODAY(),"Y"))</f>
        <v>44</v>
      </c>
      <c r="H40" t="str">
        <f>IF(tblEmployees[[#This Row],[Date of Birth]]="","",TEXT(tblEmployees[[#This Row],[Date of Birth]],"mmmm"))</f>
        <v>December</v>
      </c>
      <c r="I40" s="1" t="s">
        <v>218</v>
      </c>
      <c r="J40" s="1" t="s">
        <v>417</v>
      </c>
      <c r="K40" t="s">
        <v>299</v>
      </c>
      <c r="L40" t="s">
        <v>62</v>
      </c>
      <c r="M40" s="25">
        <v>7448666444</v>
      </c>
      <c r="N40" s="25">
        <v>9900555444</v>
      </c>
      <c r="O40" s="25">
        <v>9008155557</v>
      </c>
      <c r="P40" s="25" t="s">
        <v>74</v>
      </c>
      <c r="Q40" t="s">
        <v>115</v>
      </c>
      <c r="R40" t="s">
        <v>300</v>
      </c>
      <c r="S40" t="s">
        <v>220</v>
      </c>
      <c r="T40" t="s">
        <v>220</v>
      </c>
      <c r="U40" t="s">
        <v>220</v>
      </c>
      <c r="V40" t="s">
        <v>179</v>
      </c>
      <c r="W40" t="s">
        <v>179</v>
      </c>
      <c r="X40" t="s">
        <v>312</v>
      </c>
      <c r="Y40">
        <f>SUBTOTAL(103,tblEmployees[[#This Row],[AON ID]])</f>
        <v>1</v>
      </c>
    </row>
    <row r="41" spans="1:25" x14ac:dyDescent="0.35">
      <c r="A41">
        <v>913000</v>
      </c>
      <c r="B41" t="s">
        <v>316</v>
      </c>
      <c r="C41" t="s">
        <v>230</v>
      </c>
      <c r="D41" s="24">
        <v>46247</v>
      </c>
      <c r="E41" s="32">
        <v>2</v>
      </c>
      <c r="F41" s="27">
        <v>34476</v>
      </c>
      <c r="G41" s="25">
        <f ca="1">IF(tblEmployees[[#This Row],[Date of Birth]]="","",DATEDIF(tblEmployees[[#This Row],[Date of Birth]],TODAY(),"Y"))</f>
        <v>32</v>
      </c>
      <c r="H41" t="str">
        <f>IF(tblEmployees[[#This Row],[Date of Birth]]="","",TEXT(tblEmployees[[#This Row],[Date of Birth]],"mmmm"))</f>
        <v>May</v>
      </c>
      <c r="I41" s="1" t="s">
        <v>218</v>
      </c>
      <c r="J41" s="1" t="s">
        <v>417</v>
      </c>
      <c r="K41" t="s">
        <v>392</v>
      </c>
      <c r="L41" t="s">
        <v>393</v>
      </c>
      <c r="M41">
        <v>8095747776</v>
      </c>
      <c r="N41" s="28" t="s">
        <v>324</v>
      </c>
      <c r="O41">
        <v>9182276492</v>
      </c>
      <c r="P41" s="25" t="s">
        <v>74</v>
      </c>
      <c r="Q41" t="s">
        <v>325</v>
      </c>
      <c r="R41" t="s">
        <v>342</v>
      </c>
      <c r="S41" t="s">
        <v>220</v>
      </c>
      <c r="T41" t="s">
        <v>220</v>
      </c>
      <c r="U41" t="s">
        <v>220</v>
      </c>
      <c r="V41" t="s">
        <v>333</v>
      </c>
      <c r="W41" t="s">
        <v>333</v>
      </c>
      <c r="X41" t="s">
        <v>312</v>
      </c>
      <c r="Y41">
        <f>SUBTOTAL(103,tblEmployees[[#This Row],[AON ID]])</f>
        <v>1</v>
      </c>
    </row>
    <row r="42" spans="1:25" x14ac:dyDescent="0.35">
      <c r="A42">
        <v>913090</v>
      </c>
      <c r="B42" t="s">
        <v>317</v>
      </c>
      <c r="C42" t="s">
        <v>247</v>
      </c>
      <c r="D42" s="24">
        <v>46247</v>
      </c>
      <c r="E42" s="32">
        <v>2</v>
      </c>
      <c r="F42" s="27">
        <v>35217</v>
      </c>
      <c r="G42" s="25">
        <f ca="1">IF(tblEmployees[[#This Row],[Date of Birth]]="","",DATEDIF(tblEmployees[[#This Row],[Date of Birth]],TODAY(),"Y"))</f>
        <v>30</v>
      </c>
      <c r="H42" t="str">
        <f>IF(tblEmployees[[#This Row],[Date of Birth]]="","",TEXT(tblEmployees[[#This Row],[Date of Birth]],"mmmm"))</f>
        <v>June</v>
      </c>
      <c r="I42" s="1" t="s">
        <v>218</v>
      </c>
      <c r="J42" s="1" t="s">
        <v>417</v>
      </c>
      <c r="K42" t="s">
        <v>392</v>
      </c>
      <c r="L42" t="s">
        <v>393</v>
      </c>
      <c r="M42">
        <v>8892197707</v>
      </c>
      <c r="N42">
        <v>9945546213</v>
      </c>
      <c r="O42">
        <v>9341373740</v>
      </c>
      <c r="P42" s="25" t="s">
        <v>78</v>
      </c>
      <c r="Q42" t="s">
        <v>326</v>
      </c>
      <c r="R42" t="s">
        <v>343</v>
      </c>
      <c r="S42" t="s">
        <v>220</v>
      </c>
      <c r="T42" t="s">
        <v>220</v>
      </c>
      <c r="U42" t="s">
        <v>220</v>
      </c>
      <c r="V42" t="s">
        <v>334</v>
      </c>
      <c r="W42" t="s">
        <v>334</v>
      </c>
      <c r="X42" t="s">
        <v>312</v>
      </c>
      <c r="Y42">
        <f>SUBTOTAL(103,tblEmployees[[#This Row],[AON ID]])</f>
        <v>1</v>
      </c>
    </row>
    <row r="43" spans="1:25" x14ac:dyDescent="0.35">
      <c r="A43">
        <v>913002</v>
      </c>
      <c r="B43" t="s">
        <v>318</v>
      </c>
      <c r="C43" t="s">
        <v>223</v>
      </c>
      <c r="D43" s="24">
        <v>46247</v>
      </c>
      <c r="E43" s="32">
        <v>2</v>
      </c>
      <c r="F43" s="27">
        <v>35544</v>
      </c>
      <c r="G43" s="25">
        <f ca="1">IF(tblEmployees[[#This Row],[Date of Birth]]="","",DATEDIF(tblEmployees[[#This Row],[Date of Birth]],TODAY(),"Y"))</f>
        <v>29</v>
      </c>
      <c r="H43" t="str">
        <f>IF(tblEmployees[[#This Row],[Date of Birth]]="","",TEXT(tblEmployees[[#This Row],[Date of Birth]],"mmmm"))</f>
        <v>April</v>
      </c>
      <c r="I43" s="1" t="s">
        <v>218</v>
      </c>
      <c r="J43" s="1" t="s">
        <v>417</v>
      </c>
      <c r="K43" t="s">
        <v>235</v>
      </c>
      <c r="L43" t="s">
        <v>72</v>
      </c>
      <c r="M43">
        <v>9036878055</v>
      </c>
      <c r="N43">
        <v>9036878055</v>
      </c>
      <c r="O43">
        <v>8892775533</v>
      </c>
      <c r="P43" s="25" t="s">
        <v>76</v>
      </c>
      <c r="Q43" t="s">
        <v>327</v>
      </c>
      <c r="R43" t="s">
        <v>344</v>
      </c>
      <c r="S43" t="s">
        <v>220</v>
      </c>
      <c r="T43" t="s">
        <v>220</v>
      </c>
      <c r="U43" t="s">
        <v>220</v>
      </c>
      <c r="V43" t="s">
        <v>335</v>
      </c>
      <c r="W43" t="s">
        <v>335</v>
      </c>
      <c r="X43" t="s">
        <v>312</v>
      </c>
      <c r="Y43">
        <f>SUBTOTAL(103,tblEmployees[[#This Row],[AON ID]])</f>
        <v>1</v>
      </c>
    </row>
    <row r="44" spans="1:25" x14ac:dyDescent="0.35">
      <c r="A44">
        <v>912997</v>
      </c>
      <c r="B44" t="s">
        <v>319</v>
      </c>
      <c r="C44" t="s">
        <v>230</v>
      </c>
      <c r="D44" s="24">
        <v>46247</v>
      </c>
      <c r="E44" s="32">
        <v>2</v>
      </c>
      <c r="F44" s="27">
        <v>35586</v>
      </c>
      <c r="G44" s="25">
        <f ca="1">IF(tblEmployees[[#This Row],[Date of Birth]]="","",DATEDIF(tblEmployees[[#This Row],[Date of Birth]],TODAY(),"Y"))</f>
        <v>29</v>
      </c>
      <c r="H44" t="str">
        <f>IF(tblEmployees[[#This Row],[Date of Birth]]="","",TEXT(tblEmployees[[#This Row],[Date of Birth]],"mmmm"))</f>
        <v>June</v>
      </c>
      <c r="I44" s="1" t="s">
        <v>218</v>
      </c>
      <c r="J44" s="1" t="s">
        <v>418</v>
      </c>
      <c r="K44" t="s">
        <v>224</v>
      </c>
      <c r="L44" t="s">
        <v>62</v>
      </c>
      <c r="M44">
        <v>8904492129</v>
      </c>
      <c r="N44">
        <v>9900853887</v>
      </c>
      <c r="O44">
        <v>7026443968</v>
      </c>
      <c r="P44" s="25" t="s">
        <v>81</v>
      </c>
      <c r="Q44" t="s">
        <v>328</v>
      </c>
      <c r="R44" t="s">
        <v>345</v>
      </c>
      <c r="S44" t="s">
        <v>220</v>
      </c>
      <c r="T44" t="s">
        <v>220</v>
      </c>
      <c r="U44" t="s">
        <v>220</v>
      </c>
      <c r="V44" t="s">
        <v>336</v>
      </c>
      <c r="W44" t="s">
        <v>337</v>
      </c>
      <c r="X44" t="s">
        <v>312</v>
      </c>
      <c r="Y44">
        <f>SUBTOTAL(103,tblEmployees[[#This Row],[AON ID]])</f>
        <v>1</v>
      </c>
    </row>
    <row r="45" spans="1:25" x14ac:dyDescent="0.35">
      <c r="A45">
        <v>913001</v>
      </c>
      <c r="B45" t="s">
        <v>320</v>
      </c>
      <c r="C45" t="s">
        <v>230</v>
      </c>
      <c r="D45" s="24">
        <v>46247</v>
      </c>
      <c r="E45" s="32">
        <v>2</v>
      </c>
      <c r="F45" s="27">
        <v>32377</v>
      </c>
      <c r="G45" s="25">
        <f ca="1">IF(tblEmployees[[#This Row],[Date of Birth]]="","",DATEDIF(tblEmployees[[#This Row],[Date of Birth]],TODAY(),"Y"))</f>
        <v>38</v>
      </c>
      <c r="H45" t="str">
        <f>IF(tblEmployees[[#This Row],[Date of Birth]]="","",TEXT(tblEmployees[[#This Row],[Date of Birth]],"mmmm"))</f>
        <v>August</v>
      </c>
      <c r="I45" s="1" t="s">
        <v>218</v>
      </c>
      <c r="J45" s="1" t="s">
        <v>417</v>
      </c>
      <c r="K45" t="s">
        <v>392</v>
      </c>
      <c r="L45" t="s">
        <v>393</v>
      </c>
      <c r="M45">
        <v>9886865968</v>
      </c>
      <c r="N45">
        <v>8073438189</v>
      </c>
      <c r="O45">
        <v>8431663862</v>
      </c>
      <c r="P45" s="25" t="s">
        <v>74</v>
      </c>
      <c r="Q45" t="s">
        <v>329</v>
      </c>
      <c r="R45" t="s">
        <v>346</v>
      </c>
      <c r="S45" t="s">
        <v>220</v>
      </c>
      <c r="T45" t="s">
        <v>220</v>
      </c>
      <c r="U45" t="s">
        <v>220</v>
      </c>
      <c r="V45" t="s">
        <v>338</v>
      </c>
      <c r="W45" t="s">
        <v>338</v>
      </c>
      <c r="X45" t="s">
        <v>312</v>
      </c>
      <c r="Y45">
        <f>SUBTOTAL(103,tblEmployees[[#This Row],[AON ID]])</f>
        <v>1</v>
      </c>
    </row>
    <row r="46" spans="1:25" x14ac:dyDescent="0.35">
      <c r="A46">
        <v>913004</v>
      </c>
      <c r="B46" t="s">
        <v>321</v>
      </c>
      <c r="C46" t="s">
        <v>230</v>
      </c>
      <c r="D46" s="24">
        <v>46247</v>
      </c>
      <c r="E46" s="32">
        <v>2</v>
      </c>
      <c r="F46" s="27">
        <v>30735</v>
      </c>
      <c r="G46" s="25">
        <f ca="1">IF(tblEmployees[[#This Row],[Date of Birth]]="","",DATEDIF(tblEmployees[[#This Row],[Date of Birth]],TODAY(),"Y"))</f>
        <v>42</v>
      </c>
      <c r="H46" t="str">
        <f>IF(tblEmployees[[#This Row],[Date of Birth]]="","",TEXT(tblEmployees[[#This Row],[Date of Birth]],"mmmm"))</f>
        <v>February</v>
      </c>
      <c r="I46" s="1" t="s">
        <v>218</v>
      </c>
      <c r="J46" s="1" t="s">
        <v>417</v>
      </c>
      <c r="K46" t="s">
        <v>235</v>
      </c>
      <c r="L46" t="s">
        <v>72</v>
      </c>
      <c r="M46">
        <v>8310795818</v>
      </c>
      <c r="N46">
        <v>8123246960</v>
      </c>
      <c r="O46">
        <v>9164736349</v>
      </c>
      <c r="P46" s="25" t="s">
        <v>74</v>
      </c>
      <c r="Q46" t="s">
        <v>330</v>
      </c>
      <c r="R46" t="s">
        <v>347</v>
      </c>
      <c r="S46" t="s">
        <v>220</v>
      </c>
      <c r="T46" t="s">
        <v>220</v>
      </c>
      <c r="U46" t="s">
        <v>220</v>
      </c>
      <c r="V46" t="s">
        <v>339</v>
      </c>
      <c r="W46" t="s">
        <v>339</v>
      </c>
      <c r="X46" t="s">
        <v>312</v>
      </c>
      <c r="Y46">
        <f>SUBTOTAL(103,tblEmployees[[#This Row],[AON ID]])</f>
        <v>1</v>
      </c>
    </row>
    <row r="47" spans="1:25" x14ac:dyDescent="0.35">
      <c r="A47">
        <v>912998</v>
      </c>
      <c r="B47" t="s">
        <v>322</v>
      </c>
      <c r="C47" t="s">
        <v>230</v>
      </c>
      <c r="D47" s="24">
        <v>46247</v>
      </c>
      <c r="E47" s="32">
        <v>2</v>
      </c>
      <c r="F47" s="27">
        <v>34737</v>
      </c>
      <c r="G47" s="25">
        <f ca="1">IF(tblEmployees[[#This Row],[Date of Birth]]="","",DATEDIF(tblEmployees[[#This Row],[Date of Birth]],TODAY(),"Y"))</f>
        <v>31</v>
      </c>
      <c r="H47" t="str">
        <f>IF(tblEmployees[[#This Row],[Date of Birth]]="","",TEXT(tblEmployees[[#This Row],[Date of Birth]],"mmmm"))</f>
        <v>February</v>
      </c>
      <c r="I47" s="1" t="s">
        <v>218</v>
      </c>
      <c r="J47" s="1" t="s">
        <v>417</v>
      </c>
      <c r="K47" t="s">
        <v>224</v>
      </c>
      <c r="L47" t="s">
        <v>62</v>
      </c>
      <c r="M47">
        <v>9986119566</v>
      </c>
      <c r="N47">
        <v>7795521720</v>
      </c>
      <c r="O47">
        <v>9686119599</v>
      </c>
      <c r="P47" s="25" t="s">
        <v>78</v>
      </c>
      <c r="Q47" t="s">
        <v>331</v>
      </c>
      <c r="R47" t="s">
        <v>348</v>
      </c>
      <c r="S47" t="s">
        <v>220</v>
      </c>
      <c r="T47" t="s">
        <v>220</v>
      </c>
      <c r="U47" t="s">
        <v>220</v>
      </c>
      <c r="V47" t="s">
        <v>340</v>
      </c>
      <c r="W47" t="s">
        <v>340</v>
      </c>
      <c r="X47" t="s">
        <v>312</v>
      </c>
      <c r="Y47">
        <f>SUBTOTAL(103,tblEmployees[[#This Row],[AON ID]])</f>
        <v>1</v>
      </c>
    </row>
    <row r="48" spans="1:25" x14ac:dyDescent="0.35">
      <c r="A48">
        <v>912999</v>
      </c>
      <c r="B48" t="s">
        <v>323</v>
      </c>
      <c r="C48" t="s">
        <v>230</v>
      </c>
      <c r="D48" s="24">
        <v>46247</v>
      </c>
      <c r="E48" s="32">
        <v>2</v>
      </c>
      <c r="F48" s="27">
        <v>32926</v>
      </c>
      <c r="G48" s="25">
        <f ca="1">IF(tblEmployees[[#This Row],[Date of Birth]]="","",DATEDIF(tblEmployees[[#This Row],[Date of Birth]],TODAY(),"Y"))</f>
        <v>36</v>
      </c>
      <c r="H48" t="str">
        <f>IF(tblEmployees[[#This Row],[Date of Birth]]="","",TEXT(tblEmployees[[#This Row],[Date of Birth]],"mmmm"))</f>
        <v>February</v>
      </c>
      <c r="I48" s="1" t="s">
        <v>218</v>
      </c>
      <c r="J48" s="1" t="s">
        <v>417</v>
      </c>
      <c r="K48" t="s">
        <v>235</v>
      </c>
      <c r="L48" t="s">
        <v>72</v>
      </c>
      <c r="M48">
        <v>8494959712</v>
      </c>
      <c r="N48">
        <v>9743210072</v>
      </c>
      <c r="O48">
        <v>9743210072</v>
      </c>
      <c r="P48" s="25" t="s">
        <v>74</v>
      </c>
      <c r="Q48" t="s">
        <v>332</v>
      </c>
      <c r="R48" t="s">
        <v>349</v>
      </c>
      <c r="S48" t="s">
        <v>220</v>
      </c>
      <c r="T48" t="s">
        <v>220</v>
      </c>
      <c r="U48" t="s">
        <v>220</v>
      </c>
      <c r="V48" t="s">
        <v>341</v>
      </c>
      <c r="W48" t="s">
        <v>341</v>
      </c>
      <c r="X48" t="s">
        <v>312</v>
      </c>
      <c r="Y48">
        <f>SUBTOTAL(103,tblEmployees[[#This Row],[AON ID]])</f>
        <v>1</v>
      </c>
    </row>
    <row r="49" spans="1:25" x14ac:dyDescent="0.35">
      <c r="A49" s="29">
        <v>914513</v>
      </c>
      <c r="B49" t="s">
        <v>365</v>
      </c>
      <c r="C49" t="s">
        <v>240</v>
      </c>
      <c r="D49" s="30">
        <v>46275</v>
      </c>
      <c r="E49" s="32">
        <v>2</v>
      </c>
      <c r="F49" s="27">
        <v>36921</v>
      </c>
      <c r="G49" s="25">
        <f ca="1">IF(tblEmployees[[#This Row],[Date of Birth]]="","",DATEDIF(tblEmployees[[#This Row],[Date of Birth]],TODAY(),"Y"))</f>
        <v>25</v>
      </c>
      <c r="H49" t="str">
        <f>IF(tblEmployees[[#This Row],[Date of Birth]]="","",TEXT(tblEmployees[[#This Row],[Date of Birth]],"mmmm"))</f>
        <v>January</v>
      </c>
      <c r="I49" s="1" t="s">
        <v>218</v>
      </c>
      <c r="J49" s="1" t="s">
        <v>418</v>
      </c>
      <c r="K49" t="s">
        <v>288</v>
      </c>
      <c r="L49" t="s">
        <v>62</v>
      </c>
      <c r="M49">
        <v>8095354819</v>
      </c>
      <c r="N49" s="29">
        <v>6361673370</v>
      </c>
      <c r="O49">
        <v>8095832284</v>
      </c>
      <c r="P49" s="25" t="s">
        <v>75</v>
      </c>
      <c r="Q49" t="s">
        <v>370</v>
      </c>
      <c r="R49" t="s">
        <v>375</v>
      </c>
      <c r="S49" t="s">
        <v>220</v>
      </c>
      <c r="T49" t="s">
        <v>220</v>
      </c>
      <c r="U49" t="s">
        <v>220</v>
      </c>
      <c r="V49" t="s">
        <v>380</v>
      </c>
      <c r="W49" t="s">
        <v>380</v>
      </c>
      <c r="X49" t="s">
        <v>312</v>
      </c>
      <c r="Y49">
        <f>SUBTOTAL(103,tblEmployees[[#This Row],[AON ID]])</f>
        <v>1</v>
      </c>
    </row>
    <row r="50" spans="1:25" x14ac:dyDescent="0.35">
      <c r="A50" s="29">
        <v>914514</v>
      </c>
      <c r="B50" t="s">
        <v>366</v>
      </c>
      <c r="C50" t="s">
        <v>230</v>
      </c>
      <c r="D50" s="30">
        <v>46275</v>
      </c>
      <c r="E50" s="32">
        <v>2</v>
      </c>
      <c r="F50" s="24">
        <v>37003</v>
      </c>
      <c r="G50" s="25">
        <f ca="1">IF(tblEmployees[[#This Row],[Date of Birth]]="","",DATEDIF(tblEmployees[[#This Row],[Date of Birth]],TODAY(),"Y"))</f>
        <v>25</v>
      </c>
      <c r="H50" t="str">
        <f>IF(tblEmployees[[#This Row],[Date of Birth]]="","",TEXT(tblEmployees[[#This Row],[Date of Birth]],"mmmm"))</f>
        <v>April</v>
      </c>
      <c r="I50" s="1" t="s">
        <v>218</v>
      </c>
      <c r="J50" s="1" t="s">
        <v>417</v>
      </c>
      <c r="K50" t="s">
        <v>288</v>
      </c>
      <c r="L50" t="s">
        <v>62</v>
      </c>
      <c r="M50">
        <v>9550521061</v>
      </c>
      <c r="N50">
        <v>8317685556</v>
      </c>
      <c r="O50">
        <v>9390022082</v>
      </c>
      <c r="P50" s="25" t="s">
        <v>78</v>
      </c>
      <c r="Q50" t="s">
        <v>371</v>
      </c>
      <c r="R50" t="s">
        <v>376</v>
      </c>
      <c r="S50" t="s">
        <v>220</v>
      </c>
      <c r="T50" t="s">
        <v>220</v>
      </c>
      <c r="U50" t="s">
        <v>220</v>
      </c>
      <c r="V50" t="s">
        <v>381</v>
      </c>
      <c r="W50" t="s">
        <v>381</v>
      </c>
      <c r="X50" t="s">
        <v>312</v>
      </c>
      <c r="Y50">
        <f>SUBTOTAL(103,tblEmployees[[#This Row],[AON ID]])</f>
        <v>1</v>
      </c>
    </row>
    <row r="51" spans="1:25" x14ac:dyDescent="0.35">
      <c r="A51" s="29">
        <v>912954</v>
      </c>
      <c r="B51" t="s">
        <v>367</v>
      </c>
      <c r="C51" t="s">
        <v>223</v>
      </c>
      <c r="D51" s="30">
        <v>46247</v>
      </c>
      <c r="E51" s="32">
        <v>2</v>
      </c>
      <c r="F51" s="24">
        <v>34667</v>
      </c>
      <c r="G51" s="25">
        <f ca="1">IF(tblEmployees[[#This Row],[Date of Birth]]="","",DATEDIF(tblEmployees[[#This Row],[Date of Birth]],TODAY(),"Y"))</f>
        <v>31</v>
      </c>
      <c r="H51" t="str">
        <f>IF(tblEmployees[[#This Row],[Date of Birth]]="","",TEXT(tblEmployees[[#This Row],[Date of Birth]],"mmmm"))</f>
        <v>November</v>
      </c>
      <c r="I51" s="1" t="s">
        <v>218</v>
      </c>
      <c r="J51" s="1" t="s">
        <v>417</v>
      </c>
      <c r="K51" t="s">
        <v>392</v>
      </c>
      <c r="L51" t="s">
        <v>393</v>
      </c>
      <c r="M51">
        <v>7406185341</v>
      </c>
      <c r="N51" s="28" t="s">
        <v>324</v>
      </c>
      <c r="O51">
        <v>9901191415</v>
      </c>
      <c r="P51" s="25" t="s">
        <v>78</v>
      </c>
      <c r="Q51" t="s">
        <v>372</v>
      </c>
      <c r="R51" t="s">
        <v>377</v>
      </c>
      <c r="S51" t="s">
        <v>220</v>
      </c>
      <c r="T51" t="s">
        <v>220</v>
      </c>
      <c r="U51" t="s">
        <v>220</v>
      </c>
      <c r="V51" t="s">
        <v>382</v>
      </c>
      <c r="W51" t="s">
        <v>382</v>
      </c>
      <c r="X51" t="s">
        <v>312</v>
      </c>
      <c r="Y51">
        <f>SUBTOTAL(103,tblEmployees[[#This Row],[AON ID]])</f>
        <v>1</v>
      </c>
    </row>
    <row r="52" spans="1:25" x14ac:dyDescent="0.35">
      <c r="A52" s="29">
        <v>914512</v>
      </c>
      <c r="B52" t="s">
        <v>368</v>
      </c>
      <c r="C52" t="s">
        <v>240</v>
      </c>
      <c r="D52" s="30">
        <v>46275</v>
      </c>
      <c r="E52" s="32">
        <v>2</v>
      </c>
      <c r="F52" s="24">
        <v>37706</v>
      </c>
      <c r="G52" s="25">
        <f ca="1">IF(tblEmployees[[#This Row],[Date of Birth]]="","",DATEDIF(tblEmployees[[#This Row],[Date of Birth]],TODAY(),"Y"))</f>
        <v>23</v>
      </c>
      <c r="H52" t="str">
        <f>IF(tblEmployees[[#This Row],[Date of Birth]]="","",TEXT(tblEmployees[[#This Row],[Date of Birth]],"mmmm"))</f>
        <v>March</v>
      </c>
      <c r="I52" s="1" t="s">
        <v>218</v>
      </c>
      <c r="J52" s="1" t="s">
        <v>417</v>
      </c>
      <c r="K52" t="s">
        <v>288</v>
      </c>
      <c r="L52" t="s">
        <v>62</v>
      </c>
      <c r="M52">
        <v>9381424057</v>
      </c>
      <c r="N52">
        <v>6303476758</v>
      </c>
      <c r="O52">
        <v>6303476758</v>
      </c>
      <c r="P52" s="25" t="s">
        <v>75</v>
      </c>
      <c r="Q52" t="s">
        <v>373</v>
      </c>
      <c r="R52" t="s">
        <v>378</v>
      </c>
      <c r="S52" t="s">
        <v>220</v>
      </c>
      <c r="T52" t="s">
        <v>220</v>
      </c>
      <c r="U52" t="s">
        <v>220</v>
      </c>
      <c r="V52" t="s">
        <v>383</v>
      </c>
      <c r="W52" t="s">
        <v>383</v>
      </c>
      <c r="X52" t="s">
        <v>312</v>
      </c>
      <c r="Y52">
        <f>SUBTOTAL(103,tblEmployees[[#This Row],[AON ID]])</f>
        <v>1</v>
      </c>
    </row>
    <row r="53" spans="1:25" x14ac:dyDescent="0.35">
      <c r="A53" s="29">
        <v>912955</v>
      </c>
      <c r="B53" t="s">
        <v>369</v>
      </c>
      <c r="C53" t="s">
        <v>240</v>
      </c>
      <c r="D53" s="30">
        <v>46247</v>
      </c>
      <c r="E53" s="32">
        <v>2</v>
      </c>
      <c r="F53" s="24">
        <v>34916</v>
      </c>
      <c r="G53" s="25">
        <f ca="1">IF(tblEmployees[[#This Row],[Date of Birth]]="","",DATEDIF(tblEmployees[[#This Row],[Date of Birth]],TODAY(),"Y"))</f>
        <v>31</v>
      </c>
      <c r="H53" t="str">
        <f>IF(tblEmployees[[#This Row],[Date of Birth]]="","",TEXT(tblEmployees[[#This Row],[Date of Birth]],"mmmm"))</f>
        <v>August</v>
      </c>
      <c r="I53" s="1" t="s">
        <v>218</v>
      </c>
      <c r="J53" s="1" t="s">
        <v>417</v>
      </c>
      <c r="K53" t="s">
        <v>235</v>
      </c>
      <c r="L53" t="s">
        <v>393</v>
      </c>
      <c r="M53">
        <v>8893879797</v>
      </c>
      <c r="N53">
        <v>8547055184</v>
      </c>
      <c r="O53">
        <v>8547055184</v>
      </c>
      <c r="P53" s="25" t="s">
        <v>75</v>
      </c>
      <c r="Q53" t="s">
        <v>374</v>
      </c>
      <c r="R53" t="s">
        <v>379</v>
      </c>
      <c r="S53" t="s">
        <v>220</v>
      </c>
      <c r="T53" t="s">
        <v>220</v>
      </c>
      <c r="U53" t="s">
        <v>220</v>
      </c>
      <c r="V53" t="s">
        <v>384</v>
      </c>
      <c r="W53" t="s">
        <v>384</v>
      </c>
      <c r="X53" t="s">
        <v>312</v>
      </c>
      <c r="Y53">
        <f>SUBTOTAL(103,tblEmployees[[#This Row],[AON ID]])</f>
        <v>1</v>
      </c>
    </row>
    <row r="54" spans="1:25" x14ac:dyDescent="0.35">
      <c r="A54">
        <v>914863</v>
      </c>
      <c r="B54" t="s">
        <v>385</v>
      </c>
      <c r="C54" t="s">
        <v>230</v>
      </c>
      <c r="D54" s="31">
        <v>46282</v>
      </c>
      <c r="E54" s="32">
        <v>2</v>
      </c>
      <c r="F54" s="24">
        <v>35812</v>
      </c>
      <c r="G54" s="25">
        <f ca="1">IF(tblEmployees[[#This Row],[Date of Birth]]="","",DATEDIF(tblEmployees[[#This Row],[Date of Birth]],TODAY(),"Y"))</f>
        <v>28</v>
      </c>
      <c r="H54" t="str">
        <f>IF(tblEmployees[[#This Row],[Date of Birth]]="","",TEXT(tblEmployees[[#This Row],[Date of Birth]],"mmmm"))</f>
        <v>January</v>
      </c>
      <c r="I54" s="1" t="s">
        <v>218</v>
      </c>
      <c r="J54" s="1" t="s">
        <v>417</v>
      </c>
      <c r="K54" t="s">
        <v>392</v>
      </c>
      <c r="L54" t="s">
        <v>393</v>
      </c>
      <c r="M54">
        <v>9095954999</v>
      </c>
      <c r="N54">
        <v>7204245767</v>
      </c>
      <c r="O54">
        <v>9487834443</v>
      </c>
      <c r="P54" s="25" t="s">
        <v>76</v>
      </c>
      <c r="Q54" t="s">
        <v>394</v>
      </c>
      <c r="R54" t="s">
        <v>401</v>
      </c>
      <c r="S54" t="s">
        <v>220</v>
      </c>
      <c r="T54" t="s">
        <v>220</v>
      </c>
      <c r="U54" t="s">
        <v>220</v>
      </c>
      <c r="V54" t="s">
        <v>408</v>
      </c>
      <c r="W54" t="s">
        <v>408</v>
      </c>
      <c r="X54" t="s">
        <v>312</v>
      </c>
      <c r="Y54">
        <f>SUBTOTAL(103,tblEmployees[[#This Row],[AON ID]])</f>
        <v>1</v>
      </c>
    </row>
    <row r="55" spans="1:25" x14ac:dyDescent="0.35">
      <c r="A55">
        <v>914859</v>
      </c>
      <c r="B55" t="s">
        <v>386</v>
      </c>
      <c r="C55" t="s">
        <v>230</v>
      </c>
      <c r="D55" s="31">
        <v>46282</v>
      </c>
      <c r="E55" s="32">
        <v>2</v>
      </c>
      <c r="F55" s="24">
        <v>34661</v>
      </c>
      <c r="G55" s="25">
        <f ca="1">IF(tblEmployees[[#This Row],[Date of Birth]]="","",DATEDIF(tblEmployees[[#This Row],[Date of Birth]],TODAY(),"Y"))</f>
        <v>31</v>
      </c>
      <c r="H55" t="str">
        <f>IF(tblEmployees[[#This Row],[Date of Birth]]="","",TEXT(tblEmployees[[#This Row],[Date of Birth]],"mmmm"))</f>
        <v>November</v>
      </c>
      <c r="I55" s="1" t="s">
        <v>218</v>
      </c>
      <c r="J55" s="1" t="s">
        <v>418</v>
      </c>
      <c r="K55" t="s">
        <v>288</v>
      </c>
      <c r="L55" t="s">
        <v>62</v>
      </c>
      <c r="M55">
        <v>7022665972</v>
      </c>
      <c r="N55" s="28" t="s">
        <v>324</v>
      </c>
      <c r="O55">
        <v>8553203297</v>
      </c>
      <c r="P55" s="25" t="s">
        <v>74</v>
      </c>
      <c r="Q55" t="s">
        <v>395</v>
      </c>
      <c r="R55" t="s">
        <v>402</v>
      </c>
      <c r="S55" t="s">
        <v>220</v>
      </c>
      <c r="T55" t="s">
        <v>220</v>
      </c>
      <c r="U55" t="s">
        <v>220</v>
      </c>
      <c r="V55" t="s">
        <v>409</v>
      </c>
      <c r="W55" t="s">
        <v>409</v>
      </c>
      <c r="X55" t="s">
        <v>312</v>
      </c>
      <c r="Y55">
        <f>SUBTOTAL(103,tblEmployees[[#This Row],[AON ID]])</f>
        <v>1</v>
      </c>
    </row>
    <row r="56" spans="1:25" x14ac:dyDescent="0.35">
      <c r="A56">
        <v>915156</v>
      </c>
      <c r="B56" t="s">
        <v>387</v>
      </c>
      <c r="C56" t="s">
        <v>223</v>
      </c>
      <c r="D56" s="31">
        <v>46282</v>
      </c>
      <c r="E56" s="32">
        <v>2</v>
      </c>
      <c r="F56" s="24">
        <v>36672</v>
      </c>
      <c r="G56" s="25">
        <f ca="1">IF(tblEmployees[[#This Row],[Date of Birth]]="","",DATEDIF(tblEmployees[[#This Row],[Date of Birth]],TODAY(),"Y"))</f>
        <v>26</v>
      </c>
      <c r="H56" t="str">
        <f>IF(tblEmployees[[#This Row],[Date of Birth]]="","",TEXT(tblEmployees[[#This Row],[Date of Birth]],"mmmm"))</f>
        <v>May</v>
      </c>
      <c r="I56" s="1" t="s">
        <v>218</v>
      </c>
      <c r="J56" s="1" t="s">
        <v>418</v>
      </c>
      <c r="K56" t="s">
        <v>288</v>
      </c>
      <c r="L56" t="s">
        <v>62</v>
      </c>
      <c r="M56">
        <v>9632553683</v>
      </c>
      <c r="N56" s="28" t="s">
        <v>324</v>
      </c>
      <c r="O56">
        <v>9008884583</v>
      </c>
      <c r="P56" s="25" t="s">
        <v>78</v>
      </c>
      <c r="Q56" t="s">
        <v>396</v>
      </c>
      <c r="R56" t="s">
        <v>403</v>
      </c>
      <c r="S56" t="s">
        <v>220</v>
      </c>
      <c r="T56" t="s">
        <v>220</v>
      </c>
      <c r="U56" t="s">
        <v>220</v>
      </c>
      <c r="V56" t="s">
        <v>410</v>
      </c>
      <c r="W56" t="s">
        <v>410</v>
      </c>
      <c r="X56" t="s">
        <v>312</v>
      </c>
      <c r="Y56">
        <f>SUBTOTAL(103,tblEmployees[[#This Row],[AON ID]])</f>
        <v>1</v>
      </c>
    </row>
    <row r="57" spans="1:25" x14ac:dyDescent="0.35">
      <c r="A57">
        <v>914885</v>
      </c>
      <c r="B57" t="s">
        <v>388</v>
      </c>
      <c r="C57" t="s">
        <v>223</v>
      </c>
      <c r="D57" s="31">
        <v>46282</v>
      </c>
      <c r="E57" s="32">
        <v>2</v>
      </c>
      <c r="F57" s="24">
        <v>35957</v>
      </c>
      <c r="G57" s="25">
        <f ca="1">IF(tblEmployees[[#This Row],[Date of Birth]]="","",DATEDIF(tblEmployees[[#This Row],[Date of Birth]],TODAY(),"Y"))</f>
        <v>28</v>
      </c>
      <c r="H57" t="str">
        <f>IF(tblEmployees[[#This Row],[Date of Birth]]="","",TEXT(tblEmployees[[#This Row],[Date of Birth]],"mmmm"))</f>
        <v>June</v>
      </c>
      <c r="I57" s="1" t="s">
        <v>218</v>
      </c>
      <c r="J57" s="1" t="s">
        <v>417</v>
      </c>
      <c r="K57" t="s">
        <v>235</v>
      </c>
      <c r="L57" t="s">
        <v>393</v>
      </c>
      <c r="M57">
        <v>8884929477</v>
      </c>
      <c r="N57">
        <v>8618430113</v>
      </c>
      <c r="O57">
        <v>9916103693</v>
      </c>
      <c r="P57" s="25" t="s">
        <v>75</v>
      </c>
      <c r="Q57" t="s">
        <v>397</v>
      </c>
      <c r="R57" t="s">
        <v>404</v>
      </c>
      <c r="S57" t="s">
        <v>220</v>
      </c>
      <c r="T57" t="s">
        <v>220</v>
      </c>
      <c r="U57" t="s">
        <v>220</v>
      </c>
      <c r="V57" t="s">
        <v>411</v>
      </c>
      <c r="W57" t="s">
        <v>411</v>
      </c>
      <c r="X57" t="s">
        <v>312</v>
      </c>
      <c r="Y57">
        <f>SUBTOTAL(103,tblEmployees[[#This Row],[AON ID]])</f>
        <v>1</v>
      </c>
    </row>
    <row r="58" spans="1:25" x14ac:dyDescent="0.35">
      <c r="A58">
        <v>914861</v>
      </c>
      <c r="B58" t="s">
        <v>389</v>
      </c>
      <c r="C58" t="s">
        <v>240</v>
      </c>
      <c r="D58" s="31">
        <v>46282</v>
      </c>
      <c r="E58" s="32">
        <v>2</v>
      </c>
      <c r="F58" s="24">
        <v>36321</v>
      </c>
      <c r="G58" s="25">
        <f ca="1">IF(tblEmployees[[#This Row],[Date of Birth]]="","",DATEDIF(tblEmployees[[#This Row],[Date of Birth]],TODAY(),"Y"))</f>
        <v>27</v>
      </c>
      <c r="H58" t="str">
        <f>IF(tblEmployees[[#This Row],[Date of Birth]]="","",TEXT(tblEmployees[[#This Row],[Date of Birth]],"mmmm"))</f>
        <v>June</v>
      </c>
      <c r="I58" s="1" t="s">
        <v>218</v>
      </c>
      <c r="J58" s="1" t="s">
        <v>417</v>
      </c>
      <c r="K58" t="s">
        <v>235</v>
      </c>
      <c r="L58" t="s">
        <v>393</v>
      </c>
      <c r="M58">
        <v>8790886327</v>
      </c>
      <c r="N58" s="28" t="s">
        <v>324</v>
      </c>
      <c r="O58">
        <v>6281605453</v>
      </c>
      <c r="P58" s="25" t="s">
        <v>73</v>
      </c>
      <c r="Q58" t="s">
        <v>398</v>
      </c>
      <c r="R58" t="s">
        <v>405</v>
      </c>
      <c r="S58" t="s">
        <v>220</v>
      </c>
      <c r="T58" t="s">
        <v>220</v>
      </c>
      <c r="U58" t="s">
        <v>220</v>
      </c>
      <c r="V58" t="s">
        <v>412</v>
      </c>
      <c r="W58" t="s">
        <v>412</v>
      </c>
      <c r="X58" t="s">
        <v>312</v>
      </c>
      <c r="Y58">
        <f>SUBTOTAL(103,tblEmployees[[#This Row],[AON ID]])</f>
        <v>1</v>
      </c>
    </row>
    <row r="59" spans="1:25" x14ac:dyDescent="0.35">
      <c r="A59">
        <v>914860</v>
      </c>
      <c r="B59" t="s">
        <v>390</v>
      </c>
      <c r="C59" t="s">
        <v>230</v>
      </c>
      <c r="D59" s="31">
        <v>46282</v>
      </c>
      <c r="E59" s="32">
        <v>2</v>
      </c>
      <c r="F59" s="24">
        <v>35202</v>
      </c>
      <c r="G59" s="25">
        <f ca="1">IF(tblEmployees[[#This Row],[Date of Birth]]="","",DATEDIF(tblEmployees[[#This Row],[Date of Birth]],TODAY(),"Y"))</f>
        <v>30</v>
      </c>
      <c r="H59" t="str">
        <f>IF(tblEmployees[[#This Row],[Date of Birth]]="","",TEXT(tblEmployees[[#This Row],[Date of Birth]],"mmmm"))</f>
        <v>May</v>
      </c>
      <c r="I59" s="1" t="s">
        <v>218</v>
      </c>
      <c r="J59" s="1" t="s">
        <v>417</v>
      </c>
      <c r="K59" t="s">
        <v>235</v>
      </c>
      <c r="L59" t="s">
        <v>393</v>
      </c>
      <c r="M59">
        <v>9035208727</v>
      </c>
      <c r="N59">
        <v>7349102677</v>
      </c>
      <c r="O59">
        <v>9538958865</v>
      </c>
      <c r="P59" s="25" t="s">
        <v>75</v>
      </c>
      <c r="Q59" t="s">
        <v>399</v>
      </c>
      <c r="R59" t="s">
        <v>406</v>
      </c>
      <c r="S59" t="s">
        <v>220</v>
      </c>
      <c r="T59" t="s">
        <v>220</v>
      </c>
      <c r="U59" t="s">
        <v>220</v>
      </c>
      <c r="V59" t="s">
        <v>413</v>
      </c>
      <c r="W59" t="s">
        <v>413</v>
      </c>
      <c r="X59" t="s">
        <v>312</v>
      </c>
      <c r="Y59">
        <f>SUBTOTAL(103,tblEmployees[[#This Row],[AON ID]])</f>
        <v>1</v>
      </c>
    </row>
    <row r="60" spans="1:25" x14ac:dyDescent="0.35">
      <c r="A60">
        <v>914862</v>
      </c>
      <c r="B60" t="s">
        <v>391</v>
      </c>
      <c r="C60" t="s">
        <v>230</v>
      </c>
      <c r="D60" s="31">
        <v>46282</v>
      </c>
      <c r="E60" s="32">
        <v>2</v>
      </c>
      <c r="F60" s="24">
        <v>34008</v>
      </c>
      <c r="G60" s="25">
        <f ca="1">IF(tblEmployees[[#This Row],[Date of Birth]]="","",DATEDIF(tblEmployees[[#This Row],[Date of Birth]],TODAY(),"Y"))</f>
        <v>33</v>
      </c>
      <c r="H60" t="str">
        <f>IF(tblEmployees[[#This Row],[Date of Birth]]="","",TEXT(tblEmployees[[#This Row],[Date of Birth]],"mmmm"))</f>
        <v>February</v>
      </c>
      <c r="I60" s="1" t="s">
        <v>218</v>
      </c>
      <c r="J60" s="1" t="s">
        <v>417</v>
      </c>
      <c r="K60" t="s">
        <v>235</v>
      </c>
      <c r="L60" t="s">
        <v>393</v>
      </c>
      <c r="M60">
        <v>8904365476</v>
      </c>
      <c r="N60" s="28" t="s">
        <v>324</v>
      </c>
      <c r="O60">
        <v>9379164891</v>
      </c>
      <c r="P60" s="25" t="s">
        <v>78</v>
      </c>
      <c r="Q60" t="s">
        <v>400</v>
      </c>
      <c r="R60" t="s">
        <v>407</v>
      </c>
      <c r="S60" t="s">
        <v>220</v>
      </c>
      <c r="T60" t="s">
        <v>220</v>
      </c>
      <c r="U60" t="s">
        <v>220</v>
      </c>
      <c r="V60" t="s">
        <v>414</v>
      </c>
      <c r="W60" t="s">
        <v>414</v>
      </c>
      <c r="X60" t="s">
        <v>312</v>
      </c>
      <c r="Y60">
        <f>SUBTOTAL(103,tblEmployees[[#This Row],[AON ID]])</f>
        <v>1</v>
      </c>
    </row>
  </sheetData>
  <conditionalFormatting sqref="A1:A1048576">
    <cfRule type="duplicateValues" dxfId="22" priority="1"/>
  </conditionalFormatting>
  <hyperlinks>
    <hyperlink ref="Q8" r:id="rId1" xr:uid="{BFE9D523-E8D3-49BB-A7C2-EFA35E19AD6E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.08984375" bestFit="1" customWidth="1"/>
    <col min="2" max="2" width="9" bestFit="1" customWidth="1"/>
    <col min="3" max="3" width="27.54296875" bestFit="1" customWidth="1"/>
    <col min="4" max="4" width="14" style="1" bestFit="1" customWidth="1"/>
    <col min="5" max="5" width="26.81640625" style="1" bestFit="1" customWidth="1"/>
    <col min="6" max="6" width="26.36328125" bestFit="1" customWidth="1"/>
    <col min="7" max="7" width="28.7265625" bestFit="1" customWidth="1"/>
    <col min="8" max="8" width="36.1796875" bestFit="1" customWidth="1"/>
    <col min="9" max="9" width="31" bestFit="1" customWidth="1"/>
    <col min="10" max="10" width="9.7265625" style="1" bestFit="1" customWidth="1"/>
    <col min="11" max="11" width="39.26953125" style="3" customWidth="1"/>
    <col min="12" max="12" width="33.90625" customWidth="1"/>
  </cols>
  <sheetData>
    <row r="1" spans="1:12" x14ac:dyDescent="0.35">
      <c r="A1" s="19" t="s">
        <v>0</v>
      </c>
      <c r="B1" s="19" t="s">
        <v>67</v>
      </c>
      <c r="C1" s="19" t="s">
        <v>66</v>
      </c>
      <c r="D1" s="20" t="s">
        <v>69</v>
      </c>
      <c r="E1" s="20" t="s">
        <v>70</v>
      </c>
      <c r="F1" s="19" t="s">
        <v>71</v>
      </c>
      <c r="G1" s="19" t="s">
        <v>82</v>
      </c>
      <c r="H1" s="19" t="s">
        <v>83</v>
      </c>
      <c r="I1" s="19" t="s">
        <v>84</v>
      </c>
      <c r="J1" s="20" t="s">
        <v>118</v>
      </c>
      <c r="K1" s="21" t="s">
        <v>147</v>
      </c>
      <c r="L1" s="19" t="s">
        <v>148</v>
      </c>
    </row>
    <row r="2" spans="1:12" ht="43.5" x14ac:dyDescent="0.35">
      <c r="A2">
        <v>1</v>
      </c>
      <c r="B2" t="s">
        <v>1</v>
      </c>
      <c r="C2" t="s">
        <v>2</v>
      </c>
      <c r="D2" s="1">
        <v>9880761222</v>
      </c>
      <c r="E2" s="1">
        <v>9945836655</v>
      </c>
      <c r="F2" t="s">
        <v>62</v>
      </c>
      <c r="G2">
        <v>7996111711</v>
      </c>
      <c r="H2" t="s">
        <v>73</v>
      </c>
      <c r="I2" t="s">
        <v>85</v>
      </c>
      <c r="J2" s="2">
        <v>33270</v>
      </c>
      <c r="K2" s="3" t="s">
        <v>149</v>
      </c>
      <c r="L2" s="3" t="s">
        <v>149</v>
      </c>
    </row>
    <row r="3" spans="1:12" ht="43.5" x14ac:dyDescent="0.35">
      <c r="A3">
        <f>A2+1</f>
        <v>2</v>
      </c>
      <c r="B3" t="s">
        <v>3</v>
      </c>
      <c r="C3" t="s">
        <v>4</v>
      </c>
      <c r="D3" s="1">
        <v>8754811018</v>
      </c>
      <c r="E3" s="1">
        <v>9626392101</v>
      </c>
      <c r="F3" t="s">
        <v>62</v>
      </c>
      <c r="G3">
        <v>9655912148</v>
      </c>
      <c r="H3" t="s">
        <v>74</v>
      </c>
      <c r="I3" t="s">
        <v>86</v>
      </c>
      <c r="J3" s="2">
        <v>33857</v>
      </c>
      <c r="K3" s="3" t="s">
        <v>150</v>
      </c>
      <c r="L3" s="3" t="s">
        <v>183</v>
      </c>
    </row>
    <row r="4" spans="1:12" ht="43.5" x14ac:dyDescent="0.35">
      <c r="A4">
        <f t="shared" ref="A4:A35" si="0">A3+1</f>
        <v>3</v>
      </c>
      <c r="B4" t="s">
        <v>5</v>
      </c>
      <c r="C4" t="s">
        <v>6</v>
      </c>
      <c r="D4" s="1">
        <v>7337612703</v>
      </c>
      <c r="E4" s="1">
        <v>9632135385</v>
      </c>
      <c r="F4" t="s">
        <v>62</v>
      </c>
      <c r="G4">
        <v>9632135385</v>
      </c>
      <c r="H4" t="s">
        <v>75</v>
      </c>
      <c r="I4" t="s">
        <v>87</v>
      </c>
      <c r="J4" s="2">
        <v>33741</v>
      </c>
      <c r="K4" s="3" t="s">
        <v>151</v>
      </c>
      <c r="L4" s="3" t="s">
        <v>151</v>
      </c>
    </row>
    <row r="5" spans="1:12" ht="29" x14ac:dyDescent="0.35">
      <c r="A5">
        <f t="shared" si="0"/>
        <v>4</v>
      </c>
      <c r="B5" t="s">
        <v>7</v>
      </c>
      <c r="C5" t="s">
        <v>8</v>
      </c>
      <c r="D5" s="1">
        <v>9916834238</v>
      </c>
      <c r="E5" s="1" t="s">
        <v>68</v>
      </c>
      <c r="F5" t="s">
        <v>72</v>
      </c>
      <c r="G5">
        <v>9080660053</v>
      </c>
      <c r="H5" t="s">
        <v>76</v>
      </c>
      <c r="I5" t="s">
        <v>88</v>
      </c>
      <c r="J5" s="2">
        <v>35879</v>
      </c>
      <c r="K5" s="3" t="s">
        <v>152</v>
      </c>
      <c r="L5" s="3" t="s">
        <v>152</v>
      </c>
    </row>
    <row r="6" spans="1:12" ht="29" x14ac:dyDescent="0.35">
      <c r="A6">
        <f t="shared" si="0"/>
        <v>5</v>
      </c>
      <c r="B6" t="s">
        <v>9</v>
      </c>
      <c r="C6" t="s">
        <v>10</v>
      </c>
      <c r="D6" s="1">
        <v>9972228727</v>
      </c>
      <c r="E6" s="1">
        <v>7996900690</v>
      </c>
      <c r="F6" t="s">
        <v>72</v>
      </c>
      <c r="G6">
        <v>9663860309</v>
      </c>
      <c r="H6" t="s">
        <v>77</v>
      </c>
      <c r="I6" t="s">
        <v>89</v>
      </c>
      <c r="J6" s="2">
        <v>35453</v>
      </c>
      <c r="K6" s="3" t="s">
        <v>153</v>
      </c>
      <c r="L6" s="3" t="s">
        <v>153</v>
      </c>
    </row>
    <row r="7" spans="1:12" ht="29" x14ac:dyDescent="0.35">
      <c r="A7">
        <f t="shared" si="0"/>
        <v>6</v>
      </c>
      <c r="B7" t="s">
        <v>11</v>
      </c>
      <c r="C7" t="s">
        <v>12</v>
      </c>
      <c r="D7" s="1">
        <v>7995645630</v>
      </c>
      <c r="E7" s="1">
        <v>9849053221</v>
      </c>
      <c r="F7" t="s">
        <v>62</v>
      </c>
      <c r="G7">
        <v>9849053221</v>
      </c>
      <c r="H7" t="s">
        <v>78</v>
      </c>
      <c r="I7" t="s">
        <v>90</v>
      </c>
      <c r="J7" s="2">
        <v>37340</v>
      </c>
      <c r="K7" s="3" t="s">
        <v>154</v>
      </c>
      <c r="L7" s="3" t="s">
        <v>184</v>
      </c>
    </row>
    <row r="8" spans="1:12" ht="43.5" x14ac:dyDescent="0.35">
      <c r="A8">
        <f t="shared" si="0"/>
        <v>7</v>
      </c>
      <c r="B8" t="s">
        <v>13</v>
      </c>
      <c r="C8" t="s">
        <v>14</v>
      </c>
      <c r="D8" s="1">
        <v>8892531901</v>
      </c>
      <c r="E8" s="1">
        <v>9241763541</v>
      </c>
      <c r="F8" t="s">
        <v>62</v>
      </c>
      <c r="G8">
        <v>9241763541</v>
      </c>
      <c r="H8" t="s">
        <v>77</v>
      </c>
      <c r="I8" t="s">
        <v>91</v>
      </c>
      <c r="J8" s="2">
        <v>34069</v>
      </c>
      <c r="K8" s="3" t="s">
        <v>155</v>
      </c>
      <c r="L8" s="3" t="s">
        <v>155</v>
      </c>
    </row>
    <row r="9" spans="1:12" ht="43.5" x14ac:dyDescent="0.35">
      <c r="A9">
        <f t="shared" si="0"/>
        <v>8</v>
      </c>
      <c r="B9" t="s">
        <v>15</v>
      </c>
      <c r="C9" t="s">
        <v>16</v>
      </c>
      <c r="D9" s="1">
        <v>8125836204</v>
      </c>
      <c r="E9" s="1">
        <v>8179218247</v>
      </c>
      <c r="F9" t="s">
        <v>72</v>
      </c>
      <c r="G9">
        <v>8179218247</v>
      </c>
      <c r="H9" t="s">
        <v>75</v>
      </c>
      <c r="I9" t="s">
        <v>92</v>
      </c>
      <c r="J9" s="2">
        <v>36813</v>
      </c>
      <c r="K9" s="3" t="s">
        <v>156</v>
      </c>
      <c r="L9" s="3" t="s">
        <v>185</v>
      </c>
    </row>
    <row r="10" spans="1:12" ht="43.5" x14ac:dyDescent="0.35">
      <c r="A10">
        <f t="shared" si="0"/>
        <v>9</v>
      </c>
      <c r="B10" t="s">
        <v>17</v>
      </c>
      <c r="C10" t="s">
        <v>18</v>
      </c>
      <c r="D10" s="1">
        <v>8056189917</v>
      </c>
      <c r="E10" s="1">
        <v>8946082954</v>
      </c>
      <c r="F10" t="s">
        <v>72</v>
      </c>
      <c r="G10">
        <v>9442699347</v>
      </c>
      <c r="H10" t="s">
        <v>78</v>
      </c>
      <c r="I10" t="s">
        <v>93</v>
      </c>
      <c r="J10" s="2">
        <v>33832</v>
      </c>
      <c r="K10" s="3" t="s">
        <v>157</v>
      </c>
      <c r="L10" s="3" t="s">
        <v>186</v>
      </c>
    </row>
    <row r="11" spans="1:12" ht="43.5" x14ac:dyDescent="0.35">
      <c r="A11">
        <f t="shared" si="0"/>
        <v>10</v>
      </c>
      <c r="B11" t="s">
        <v>19</v>
      </c>
      <c r="C11" t="s">
        <v>20</v>
      </c>
      <c r="D11" s="1">
        <v>9663226144</v>
      </c>
      <c r="E11" s="1">
        <v>9663226144</v>
      </c>
      <c r="F11" t="s">
        <v>72</v>
      </c>
      <c r="G11">
        <v>8197674097</v>
      </c>
      <c r="H11" t="s">
        <v>75</v>
      </c>
      <c r="I11" t="s">
        <v>94</v>
      </c>
      <c r="J11" s="2" t="s">
        <v>119</v>
      </c>
      <c r="K11" s="3" t="s">
        <v>158</v>
      </c>
      <c r="L11" s="3" t="s">
        <v>158</v>
      </c>
    </row>
    <row r="12" spans="1:12" ht="29" x14ac:dyDescent="0.35">
      <c r="A12">
        <f t="shared" si="0"/>
        <v>11</v>
      </c>
      <c r="B12" t="s">
        <v>21</v>
      </c>
      <c r="C12" t="s">
        <v>22</v>
      </c>
      <c r="D12" s="1">
        <v>9036712224</v>
      </c>
      <c r="E12" s="1">
        <v>9663632336</v>
      </c>
      <c r="F12" t="s">
        <v>62</v>
      </c>
      <c r="G12">
        <v>9663632336</v>
      </c>
      <c r="H12" t="s">
        <v>78</v>
      </c>
      <c r="I12" t="s">
        <v>95</v>
      </c>
      <c r="J12" s="2" t="s">
        <v>120</v>
      </c>
      <c r="K12" s="3" t="s">
        <v>159</v>
      </c>
      <c r="L12" s="3" t="s">
        <v>159</v>
      </c>
    </row>
    <row r="13" spans="1:12" ht="43.5" x14ac:dyDescent="0.35">
      <c r="A13">
        <f t="shared" si="0"/>
        <v>12</v>
      </c>
      <c r="B13" t="s">
        <v>23</v>
      </c>
      <c r="C13" t="s">
        <v>24</v>
      </c>
      <c r="D13" s="1">
        <v>9187037993</v>
      </c>
      <c r="E13" s="1">
        <v>9743803197</v>
      </c>
      <c r="F13" t="s">
        <v>62</v>
      </c>
      <c r="G13">
        <v>9535040771</v>
      </c>
      <c r="H13" t="s">
        <v>79</v>
      </c>
      <c r="I13" t="s">
        <v>96</v>
      </c>
      <c r="J13" s="2" t="s">
        <v>121</v>
      </c>
      <c r="K13" s="3" t="s">
        <v>160</v>
      </c>
      <c r="L13" s="3" t="s">
        <v>187</v>
      </c>
    </row>
    <row r="14" spans="1:12" ht="43.5" x14ac:dyDescent="0.35">
      <c r="A14">
        <f t="shared" si="0"/>
        <v>13</v>
      </c>
      <c r="B14" t="s">
        <v>25</v>
      </c>
      <c r="C14" t="s">
        <v>26</v>
      </c>
      <c r="D14" s="1">
        <v>9743457840</v>
      </c>
      <c r="E14" s="1">
        <v>7019596043</v>
      </c>
      <c r="F14" t="s">
        <v>72</v>
      </c>
      <c r="G14">
        <v>8904475892</v>
      </c>
      <c r="H14" t="s">
        <v>75</v>
      </c>
      <c r="I14" t="s">
        <v>97</v>
      </c>
      <c r="J14" s="2" t="s">
        <v>122</v>
      </c>
      <c r="K14" s="3" t="s">
        <v>161</v>
      </c>
      <c r="L14" s="3" t="s">
        <v>161</v>
      </c>
    </row>
    <row r="15" spans="1:12" ht="43.5" x14ac:dyDescent="0.35">
      <c r="A15">
        <f t="shared" si="0"/>
        <v>14</v>
      </c>
      <c r="B15" t="s">
        <v>27</v>
      </c>
      <c r="C15" t="s">
        <v>28</v>
      </c>
      <c r="D15" s="1">
        <v>7022728108</v>
      </c>
      <c r="E15" s="1">
        <v>7022728108</v>
      </c>
      <c r="F15" t="s">
        <v>72</v>
      </c>
      <c r="G15">
        <v>9060092067</v>
      </c>
      <c r="H15" t="s">
        <v>76</v>
      </c>
      <c r="I15" t="s">
        <v>98</v>
      </c>
      <c r="J15" s="2" t="s">
        <v>123</v>
      </c>
      <c r="K15" s="3" t="s">
        <v>162</v>
      </c>
      <c r="L15" s="3" t="s">
        <v>162</v>
      </c>
    </row>
    <row r="16" spans="1:12" ht="58" x14ac:dyDescent="0.35">
      <c r="A16">
        <f t="shared" si="0"/>
        <v>15</v>
      </c>
      <c r="B16" t="s">
        <v>29</v>
      </c>
      <c r="C16" t="s">
        <v>30</v>
      </c>
      <c r="D16" s="1">
        <v>9713138433</v>
      </c>
      <c r="E16" s="1">
        <v>9713310006</v>
      </c>
      <c r="F16" t="s">
        <v>72</v>
      </c>
      <c r="G16">
        <v>8088082764</v>
      </c>
      <c r="H16" t="s">
        <v>80</v>
      </c>
      <c r="I16" t="s">
        <v>99</v>
      </c>
      <c r="J16" s="2" t="s">
        <v>124</v>
      </c>
      <c r="K16" s="3" t="s">
        <v>163</v>
      </c>
      <c r="L16" s="3" t="s">
        <v>188</v>
      </c>
    </row>
    <row r="17" spans="1:12" ht="43.5" x14ac:dyDescent="0.35">
      <c r="A17">
        <f t="shared" si="0"/>
        <v>16</v>
      </c>
      <c r="B17" t="s">
        <v>31</v>
      </c>
      <c r="C17" t="s">
        <v>32</v>
      </c>
      <c r="D17" s="1">
        <v>9886988855</v>
      </c>
      <c r="E17" s="1">
        <v>7448588855</v>
      </c>
      <c r="F17" t="s">
        <v>72</v>
      </c>
      <c r="G17">
        <v>6379946246</v>
      </c>
      <c r="H17" t="s">
        <v>76</v>
      </c>
      <c r="I17" t="s">
        <v>100</v>
      </c>
      <c r="J17" s="2" t="s">
        <v>125</v>
      </c>
      <c r="K17" s="3" t="s">
        <v>164</v>
      </c>
      <c r="L17" s="3" t="s">
        <v>189</v>
      </c>
    </row>
    <row r="18" spans="1:12" ht="43.5" x14ac:dyDescent="0.35">
      <c r="A18">
        <f t="shared" si="0"/>
        <v>17</v>
      </c>
      <c r="B18" t="s">
        <v>33</v>
      </c>
      <c r="C18" t="s">
        <v>34</v>
      </c>
      <c r="D18" s="1">
        <v>9535787578</v>
      </c>
      <c r="E18" s="1">
        <v>9535263003</v>
      </c>
      <c r="F18" t="s">
        <v>62</v>
      </c>
      <c r="G18">
        <v>7411714048</v>
      </c>
      <c r="H18" t="s">
        <v>78</v>
      </c>
      <c r="I18" t="s">
        <v>101</v>
      </c>
      <c r="J18" s="2" t="s">
        <v>126</v>
      </c>
      <c r="K18" s="3" t="s">
        <v>165</v>
      </c>
      <c r="L18" s="3" t="s">
        <v>165</v>
      </c>
    </row>
    <row r="19" spans="1:12" ht="43.5" x14ac:dyDescent="0.35">
      <c r="A19">
        <f t="shared" si="0"/>
        <v>18</v>
      </c>
      <c r="B19" t="s">
        <v>35</v>
      </c>
      <c r="C19" t="s">
        <v>36</v>
      </c>
      <c r="D19" s="1">
        <v>9380758585</v>
      </c>
      <c r="E19" s="1">
        <v>8073783794</v>
      </c>
      <c r="F19" t="s">
        <v>72</v>
      </c>
      <c r="G19">
        <v>8073783794</v>
      </c>
      <c r="H19" t="s">
        <v>81</v>
      </c>
      <c r="I19" t="s">
        <v>102</v>
      </c>
      <c r="J19" s="2" t="s">
        <v>127</v>
      </c>
      <c r="K19" s="3" t="s">
        <v>166</v>
      </c>
      <c r="L19" s="3" t="s">
        <v>190</v>
      </c>
    </row>
    <row r="20" spans="1:12" ht="43.5" x14ac:dyDescent="0.35">
      <c r="A20">
        <f t="shared" si="0"/>
        <v>19</v>
      </c>
      <c r="B20" t="s">
        <v>37</v>
      </c>
      <c r="C20" t="s">
        <v>38</v>
      </c>
      <c r="D20" s="1">
        <v>7411235572</v>
      </c>
      <c r="E20" s="1">
        <v>8217370089</v>
      </c>
      <c r="F20" t="s">
        <v>62</v>
      </c>
      <c r="G20">
        <v>9008801652</v>
      </c>
      <c r="H20" t="s">
        <v>78</v>
      </c>
      <c r="I20" t="s">
        <v>103</v>
      </c>
      <c r="J20" s="2" t="s">
        <v>128</v>
      </c>
      <c r="K20" s="3" t="s">
        <v>167</v>
      </c>
      <c r="L20" s="3" t="s">
        <v>167</v>
      </c>
    </row>
    <row r="21" spans="1:12" ht="43.5" x14ac:dyDescent="0.35">
      <c r="A21">
        <f t="shared" si="0"/>
        <v>20</v>
      </c>
      <c r="B21" t="s">
        <v>39</v>
      </c>
      <c r="C21" t="s">
        <v>40</v>
      </c>
      <c r="D21" s="1">
        <v>9916716585</v>
      </c>
      <c r="E21" s="1">
        <v>9916716585</v>
      </c>
      <c r="F21" t="s">
        <v>62</v>
      </c>
      <c r="G21">
        <v>8618435661</v>
      </c>
      <c r="H21" t="s">
        <v>73</v>
      </c>
      <c r="I21" t="s">
        <v>104</v>
      </c>
      <c r="J21" s="2" t="s">
        <v>129</v>
      </c>
      <c r="K21" s="3" t="s">
        <v>168</v>
      </c>
      <c r="L21" s="3" t="s">
        <v>168</v>
      </c>
    </row>
    <row r="22" spans="1:12" ht="58" x14ac:dyDescent="0.35">
      <c r="A22">
        <f t="shared" si="0"/>
        <v>21</v>
      </c>
      <c r="B22" t="s">
        <v>41</v>
      </c>
      <c r="C22" t="s">
        <v>42</v>
      </c>
      <c r="D22" s="1">
        <v>9746142845</v>
      </c>
      <c r="E22" s="1">
        <v>9497224278</v>
      </c>
      <c r="F22" t="s">
        <v>62</v>
      </c>
      <c r="G22">
        <v>9074344981</v>
      </c>
      <c r="H22" t="s">
        <v>75</v>
      </c>
      <c r="I22" t="s">
        <v>105</v>
      </c>
      <c r="J22" s="2" t="s">
        <v>130</v>
      </c>
      <c r="K22" s="3" t="s">
        <v>169</v>
      </c>
      <c r="L22" s="3" t="s">
        <v>191</v>
      </c>
    </row>
    <row r="23" spans="1:12" ht="43.5" x14ac:dyDescent="0.35">
      <c r="A23">
        <f t="shared" si="0"/>
        <v>22</v>
      </c>
      <c r="B23" t="s">
        <v>43</v>
      </c>
      <c r="C23" t="s">
        <v>44</v>
      </c>
      <c r="D23" s="1">
        <v>8088264262</v>
      </c>
      <c r="E23" s="1">
        <v>8431449870</v>
      </c>
      <c r="F23" t="s">
        <v>72</v>
      </c>
      <c r="G23">
        <v>8431449870</v>
      </c>
      <c r="H23" t="s">
        <v>77</v>
      </c>
      <c r="I23" t="s">
        <v>106</v>
      </c>
      <c r="J23" s="2" t="s">
        <v>131</v>
      </c>
      <c r="K23" s="3" t="s">
        <v>170</v>
      </c>
      <c r="L23" s="3" t="s">
        <v>192</v>
      </c>
    </row>
    <row r="24" spans="1:12" ht="43.5" x14ac:dyDescent="0.35">
      <c r="A24">
        <f t="shared" si="0"/>
        <v>23</v>
      </c>
      <c r="B24" t="s">
        <v>45</v>
      </c>
      <c r="C24" t="s">
        <v>46</v>
      </c>
      <c r="D24" s="1">
        <v>9964634322</v>
      </c>
      <c r="E24" s="1">
        <v>8050897539</v>
      </c>
      <c r="F24" t="s">
        <v>72</v>
      </c>
      <c r="G24">
        <v>8050897539</v>
      </c>
      <c r="H24" t="s">
        <v>77</v>
      </c>
      <c r="I24" t="s">
        <v>107</v>
      </c>
      <c r="J24" s="2" t="s">
        <v>132</v>
      </c>
      <c r="K24" s="3" t="s">
        <v>171</v>
      </c>
      <c r="L24" s="3" t="s">
        <v>193</v>
      </c>
    </row>
    <row r="25" spans="1:12" ht="43.5" x14ac:dyDescent="0.35">
      <c r="A25">
        <f t="shared" si="0"/>
        <v>24</v>
      </c>
      <c r="B25" t="s">
        <v>47</v>
      </c>
      <c r="C25" t="s">
        <v>48</v>
      </c>
      <c r="D25" s="1">
        <v>9880230922</v>
      </c>
      <c r="E25" s="1">
        <v>7026670519</v>
      </c>
      <c r="F25" t="s">
        <v>72</v>
      </c>
      <c r="G25">
        <v>9341779992</v>
      </c>
      <c r="H25" t="s">
        <v>78</v>
      </c>
      <c r="I25" t="s">
        <v>108</v>
      </c>
      <c r="J25" s="2" t="s">
        <v>133</v>
      </c>
      <c r="K25" s="3" t="s">
        <v>172</v>
      </c>
      <c r="L25" s="3" t="s">
        <v>172</v>
      </c>
    </row>
    <row r="26" spans="1:12" ht="43.5" x14ac:dyDescent="0.35">
      <c r="A26">
        <f t="shared" si="0"/>
        <v>25</v>
      </c>
      <c r="B26" t="s">
        <v>49</v>
      </c>
      <c r="C26" t="s">
        <v>50</v>
      </c>
      <c r="D26" s="1">
        <v>8660266155</v>
      </c>
      <c r="E26" s="1">
        <v>8123899839</v>
      </c>
      <c r="F26" t="s">
        <v>72</v>
      </c>
      <c r="G26">
        <v>8123899839</v>
      </c>
      <c r="H26" t="s">
        <v>76</v>
      </c>
      <c r="I26" t="s">
        <v>109</v>
      </c>
      <c r="J26" s="2" t="s">
        <v>134</v>
      </c>
      <c r="K26" s="3" t="s">
        <v>173</v>
      </c>
      <c r="L26" s="3" t="s">
        <v>194</v>
      </c>
    </row>
    <row r="27" spans="1:12" ht="43.5" x14ac:dyDescent="0.35">
      <c r="A27">
        <f t="shared" si="0"/>
        <v>26</v>
      </c>
      <c r="B27" t="s">
        <v>51</v>
      </c>
      <c r="C27" t="s">
        <v>52</v>
      </c>
      <c r="D27" s="1">
        <v>9980615720</v>
      </c>
      <c r="E27" s="1">
        <v>9148785720</v>
      </c>
      <c r="F27" t="s">
        <v>72</v>
      </c>
      <c r="G27">
        <v>9611962729</v>
      </c>
      <c r="H27" t="s">
        <v>75</v>
      </c>
      <c r="I27" t="s">
        <v>110</v>
      </c>
      <c r="J27" s="2" t="s">
        <v>135</v>
      </c>
      <c r="K27" s="3" t="s">
        <v>174</v>
      </c>
      <c r="L27" s="3" t="s">
        <v>195</v>
      </c>
    </row>
    <row r="28" spans="1:12" ht="29" x14ac:dyDescent="0.35">
      <c r="A28">
        <f t="shared" si="0"/>
        <v>27</v>
      </c>
      <c r="B28" t="s">
        <v>53</v>
      </c>
      <c r="C28" t="s">
        <v>54</v>
      </c>
      <c r="D28" s="1">
        <v>9741299891</v>
      </c>
      <c r="E28" s="1">
        <v>8123031998</v>
      </c>
      <c r="F28" t="s">
        <v>62</v>
      </c>
      <c r="G28">
        <v>8197116524</v>
      </c>
      <c r="H28" t="s">
        <v>81</v>
      </c>
      <c r="I28" t="s">
        <v>111</v>
      </c>
      <c r="J28" s="2" t="s">
        <v>136</v>
      </c>
      <c r="K28" s="3" t="s">
        <v>175</v>
      </c>
      <c r="L28" s="3" t="s">
        <v>196</v>
      </c>
    </row>
    <row r="29" spans="1:12" ht="43.5" x14ac:dyDescent="0.35">
      <c r="A29">
        <f t="shared" si="0"/>
        <v>28</v>
      </c>
      <c r="B29" t="s">
        <v>55</v>
      </c>
      <c r="C29" t="s">
        <v>56</v>
      </c>
      <c r="D29" s="1">
        <v>8296314367</v>
      </c>
      <c r="E29" s="1">
        <v>7676712279</v>
      </c>
      <c r="F29" t="s">
        <v>62</v>
      </c>
      <c r="G29">
        <v>7676712279</v>
      </c>
      <c r="H29" t="s">
        <v>77</v>
      </c>
      <c r="I29" t="s">
        <v>112</v>
      </c>
      <c r="J29" s="2" t="s">
        <v>137</v>
      </c>
      <c r="K29" s="3" t="s">
        <v>176</v>
      </c>
      <c r="L29" s="3" t="s">
        <v>197</v>
      </c>
    </row>
    <row r="30" spans="1:12" ht="58" x14ac:dyDescent="0.35">
      <c r="A30">
        <f t="shared" si="0"/>
        <v>29</v>
      </c>
      <c r="B30" t="s">
        <v>57</v>
      </c>
      <c r="C30" t="s">
        <v>58</v>
      </c>
      <c r="D30" s="1">
        <v>7619376918</v>
      </c>
      <c r="E30" s="1">
        <v>9632624763</v>
      </c>
      <c r="F30" t="s">
        <v>72</v>
      </c>
      <c r="G30">
        <v>7022914079</v>
      </c>
      <c r="H30" t="s">
        <v>78</v>
      </c>
      <c r="I30" t="s">
        <v>113</v>
      </c>
      <c r="J30" s="2" t="s">
        <v>138</v>
      </c>
      <c r="K30" s="3" t="s">
        <v>177</v>
      </c>
      <c r="L30" s="3" t="s">
        <v>198</v>
      </c>
    </row>
    <row r="31" spans="1:12" ht="43.5" x14ac:dyDescent="0.35">
      <c r="A31">
        <f t="shared" si="0"/>
        <v>30</v>
      </c>
      <c r="B31" t="s">
        <v>59</v>
      </c>
      <c r="C31" t="s">
        <v>60</v>
      </c>
      <c r="D31" s="1">
        <v>9538713337</v>
      </c>
      <c r="E31" s="1">
        <v>8861622423</v>
      </c>
      <c r="F31" t="s">
        <v>62</v>
      </c>
      <c r="G31">
        <v>8861622423</v>
      </c>
      <c r="H31" t="s">
        <v>75</v>
      </c>
      <c r="I31" t="s">
        <v>114</v>
      </c>
      <c r="J31" s="2" t="s">
        <v>139</v>
      </c>
      <c r="K31" s="3" t="s">
        <v>178</v>
      </c>
      <c r="L31" s="3" t="s">
        <v>199</v>
      </c>
    </row>
    <row r="32" spans="1:12" ht="43.5" x14ac:dyDescent="0.35">
      <c r="A32">
        <f t="shared" si="0"/>
        <v>31</v>
      </c>
      <c r="B32" t="s">
        <v>61</v>
      </c>
      <c r="C32" t="s">
        <v>62</v>
      </c>
      <c r="D32" s="1">
        <v>7448666444</v>
      </c>
      <c r="E32" s="1">
        <v>9900555444</v>
      </c>
      <c r="F32" t="s">
        <v>62</v>
      </c>
      <c r="G32">
        <v>9008155557</v>
      </c>
      <c r="H32" t="s">
        <v>74</v>
      </c>
      <c r="I32" t="s">
        <v>115</v>
      </c>
      <c r="J32" s="2" t="s">
        <v>140</v>
      </c>
      <c r="K32" s="3" t="s">
        <v>179</v>
      </c>
      <c r="L32" s="3" t="s">
        <v>179</v>
      </c>
    </row>
    <row r="33" spans="1:12" ht="58" x14ac:dyDescent="0.35">
      <c r="A33">
        <f t="shared" si="0"/>
        <v>32</v>
      </c>
      <c r="B33" t="s">
        <v>63</v>
      </c>
      <c r="C33" t="s">
        <v>64</v>
      </c>
      <c r="D33" s="1">
        <v>8779689309</v>
      </c>
      <c r="E33" s="1">
        <v>7039210208</v>
      </c>
      <c r="F33" t="s">
        <v>72</v>
      </c>
      <c r="G33">
        <v>9326010754</v>
      </c>
      <c r="H33" t="s">
        <v>74</v>
      </c>
      <c r="I33" t="s">
        <v>116</v>
      </c>
      <c r="J33" s="2" t="s">
        <v>141</v>
      </c>
      <c r="K33" s="3" t="s">
        <v>180</v>
      </c>
      <c r="L33" s="3" t="s">
        <v>200</v>
      </c>
    </row>
    <row r="34" spans="1:12" ht="72.5" x14ac:dyDescent="0.35">
      <c r="A34">
        <f t="shared" si="0"/>
        <v>33</v>
      </c>
      <c r="B34" t="s">
        <v>143</v>
      </c>
      <c r="C34" t="s">
        <v>65</v>
      </c>
      <c r="D34" s="1">
        <v>7676157630</v>
      </c>
      <c r="E34" s="1">
        <v>6303713432</v>
      </c>
      <c r="F34" t="s">
        <v>72</v>
      </c>
      <c r="G34">
        <v>7780556385</v>
      </c>
      <c r="H34" t="s">
        <v>77</v>
      </c>
      <c r="I34" t="s">
        <v>117</v>
      </c>
      <c r="J34" s="2" t="s">
        <v>142</v>
      </c>
      <c r="K34" s="3" t="s">
        <v>181</v>
      </c>
      <c r="L34" s="3" t="s">
        <v>201</v>
      </c>
    </row>
    <row r="35" spans="1:12" ht="43.5" x14ac:dyDescent="0.35">
      <c r="A35">
        <f t="shared" si="0"/>
        <v>34</v>
      </c>
      <c r="B35" t="s">
        <v>144</v>
      </c>
      <c r="C35" t="s">
        <v>145</v>
      </c>
      <c r="D35" s="1">
        <v>7975425816</v>
      </c>
      <c r="E35" s="1">
        <v>9945015434</v>
      </c>
      <c r="F35" t="s">
        <v>72</v>
      </c>
      <c r="G35">
        <v>7483671162</v>
      </c>
      <c r="H35" t="s">
        <v>75</v>
      </c>
      <c r="I35" t="s">
        <v>146</v>
      </c>
      <c r="J35" s="2">
        <v>32512</v>
      </c>
      <c r="K35" s="3" t="s">
        <v>182</v>
      </c>
      <c r="L35" s="3" t="s">
        <v>182</v>
      </c>
    </row>
  </sheetData>
  <hyperlinks>
    <hyperlink ref="I35" r:id="rId1" xr:uid="{F827499D-A4F6-43F3-9432-24911730A462}"/>
  </hyperlinks>
  <pageMargins left="0.7" right="0.7" top="0.75" bottom="0.75" header="0.3" footer="0.3"/>
  <pageSetup paperSize="9" orientation="portrait" r:id="rId2"/>
  <ignoredErrors>
    <ignoredError sqref="J12:J34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DA74-D9DF-4196-A102-4FEEB11D6B59}">
  <dimension ref="A1:O40"/>
  <sheetViews>
    <sheetView topLeftCell="A13" workbookViewId="0">
      <selection activeCell="K13" sqref="K13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22.453125" bestFit="1" customWidth="1"/>
    <col min="4" max="4" width="12.6328125" bestFit="1" customWidth="1"/>
    <col min="5" max="5" width="11" bestFit="1" customWidth="1"/>
    <col min="6" max="6" width="9.453125" bestFit="1" customWidth="1"/>
    <col min="7" max="7" width="11" bestFit="1" customWidth="1"/>
    <col min="8" max="8" width="6" bestFit="1" customWidth="1"/>
    <col min="9" max="9" width="11.7265625" bestFit="1" customWidth="1"/>
    <col min="10" max="10" width="13.453125" bestFit="1" customWidth="1"/>
    <col min="11" max="11" width="34.90625" bestFit="1" customWidth="1"/>
    <col min="12" max="12" width="10.1796875" bestFit="1" customWidth="1"/>
    <col min="13" max="13" width="9.54296875" bestFit="1" customWidth="1"/>
    <col min="14" max="14" width="6.26953125" bestFit="1" customWidth="1"/>
    <col min="15" max="15" width="12.1796875" bestFit="1" customWidth="1"/>
  </cols>
  <sheetData>
    <row r="1" spans="1:15" x14ac:dyDescent="0.35">
      <c r="A1" s="22" t="s">
        <v>0</v>
      </c>
      <c r="B1" s="22" t="s">
        <v>67</v>
      </c>
      <c r="C1" s="22" t="s">
        <v>202</v>
      </c>
      <c r="D1" s="22" t="s">
        <v>203</v>
      </c>
      <c r="E1" s="22" t="s">
        <v>204</v>
      </c>
      <c r="F1" s="22" t="s">
        <v>205</v>
      </c>
      <c r="G1" s="23" t="s">
        <v>206</v>
      </c>
      <c r="H1" s="22" t="s">
        <v>207</v>
      </c>
      <c r="I1" s="22" t="s">
        <v>208</v>
      </c>
      <c r="J1" s="22" t="s">
        <v>209</v>
      </c>
      <c r="K1" s="22" t="s">
        <v>210</v>
      </c>
      <c r="L1" s="22" t="s">
        <v>211</v>
      </c>
      <c r="M1" s="22" t="s">
        <v>212</v>
      </c>
      <c r="N1" s="22" t="s">
        <v>213</v>
      </c>
      <c r="O1" s="22" t="s">
        <v>214</v>
      </c>
    </row>
    <row r="2" spans="1:15" x14ac:dyDescent="0.35">
      <c r="A2" s="4">
        <v>1</v>
      </c>
      <c r="B2" s="4" t="s">
        <v>215</v>
      </c>
      <c r="C2" s="5" t="s">
        <v>216</v>
      </c>
      <c r="D2" s="5" t="s">
        <v>217</v>
      </c>
      <c r="E2" s="6">
        <v>46237</v>
      </c>
      <c r="F2" s="7">
        <v>31683</v>
      </c>
      <c r="G2" s="8">
        <f t="shared" ref="G2:G40" si="0">MONTH(F2)</f>
        <v>9</v>
      </c>
      <c r="H2" s="9" t="s">
        <v>218</v>
      </c>
      <c r="I2" s="4" t="s">
        <v>219</v>
      </c>
      <c r="J2" s="4" t="s">
        <v>220</v>
      </c>
      <c r="K2" s="10" t="s">
        <v>221</v>
      </c>
      <c r="L2" s="4" t="s">
        <v>220</v>
      </c>
      <c r="M2" s="4" t="s">
        <v>220</v>
      </c>
      <c r="N2" s="4" t="s">
        <v>220</v>
      </c>
      <c r="O2" s="4" t="s">
        <v>220</v>
      </c>
    </row>
    <row r="3" spans="1:15" x14ac:dyDescent="0.35">
      <c r="A3" s="4">
        <v>2</v>
      </c>
      <c r="B3" s="4" t="s">
        <v>39</v>
      </c>
      <c r="C3" s="5" t="s">
        <v>222</v>
      </c>
      <c r="D3" s="5" t="s">
        <v>223</v>
      </c>
      <c r="E3" s="11">
        <v>46216</v>
      </c>
      <c r="F3" s="7">
        <v>35276</v>
      </c>
      <c r="G3" s="8">
        <f t="shared" si="0"/>
        <v>7</v>
      </c>
      <c r="H3" s="4" t="s">
        <v>218</v>
      </c>
      <c r="I3" s="12" t="s">
        <v>224</v>
      </c>
      <c r="J3" s="4" t="s">
        <v>220</v>
      </c>
      <c r="K3" s="10" t="s">
        <v>225</v>
      </c>
      <c r="L3" s="4" t="s">
        <v>220</v>
      </c>
      <c r="M3" s="4" t="s">
        <v>220</v>
      </c>
      <c r="N3" s="4" t="s">
        <v>220</v>
      </c>
      <c r="O3" s="4" t="s">
        <v>220</v>
      </c>
    </row>
    <row r="4" spans="1:15" x14ac:dyDescent="0.35">
      <c r="A4" s="4">
        <v>3</v>
      </c>
      <c r="B4" s="4" t="s">
        <v>41</v>
      </c>
      <c r="C4" s="5" t="s">
        <v>42</v>
      </c>
      <c r="D4" s="5" t="s">
        <v>223</v>
      </c>
      <c r="E4" s="11">
        <v>46219</v>
      </c>
      <c r="F4" s="7">
        <v>31769</v>
      </c>
      <c r="G4" s="8">
        <f t="shared" si="0"/>
        <v>12</v>
      </c>
      <c r="H4" s="4" t="s">
        <v>218</v>
      </c>
      <c r="I4" s="12" t="s">
        <v>224</v>
      </c>
      <c r="J4" s="4" t="s">
        <v>220</v>
      </c>
      <c r="K4" s="10" t="s">
        <v>226</v>
      </c>
      <c r="L4" s="4" t="s">
        <v>220</v>
      </c>
      <c r="M4" s="4" t="s">
        <v>220</v>
      </c>
      <c r="N4" s="4" t="s">
        <v>220</v>
      </c>
      <c r="O4" s="4" t="s">
        <v>220</v>
      </c>
    </row>
    <row r="5" spans="1:15" x14ac:dyDescent="0.35">
      <c r="A5" s="4">
        <v>4</v>
      </c>
      <c r="B5" s="4" t="s">
        <v>227</v>
      </c>
      <c r="C5" s="5" t="s">
        <v>34</v>
      </c>
      <c r="D5" s="5" t="s">
        <v>223</v>
      </c>
      <c r="E5" s="11">
        <v>46220</v>
      </c>
      <c r="F5" s="7">
        <v>36296</v>
      </c>
      <c r="G5" s="8">
        <f t="shared" si="0"/>
        <v>5</v>
      </c>
      <c r="H5" s="4" t="s">
        <v>218</v>
      </c>
      <c r="I5" s="12" t="s">
        <v>224</v>
      </c>
      <c r="J5" s="4" t="s">
        <v>220</v>
      </c>
      <c r="K5" s="10" t="s">
        <v>228</v>
      </c>
      <c r="L5" s="4" t="s">
        <v>220</v>
      </c>
      <c r="M5" s="4" t="s">
        <v>220</v>
      </c>
      <c r="N5" s="4" t="s">
        <v>220</v>
      </c>
      <c r="O5" s="4" t="s">
        <v>220</v>
      </c>
    </row>
    <row r="6" spans="1:15" x14ac:dyDescent="0.35">
      <c r="A6" s="4">
        <v>5</v>
      </c>
      <c r="B6" s="4" t="s">
        <v>229</v>
      </c>
      <c r="C6" s="5" t="s">
        <v>14</v>
      </c>
      <c r="D6" s="5" t="s">
        <v>230</v>
      </c>
      <c r="E6" s="11">
        <v>46220</v>
      </c>
      <c r="F6" s="7">
        <v>34216</v>
      </c>
      <c r="G6" s="8">
        <f t="shared" si="0"/>
        <v>9</v>
      </c>
      <c r="H6" s="4" t="s">
        <v>218</v>
      </c>
      <c r="I6" s="12" t="s">
        <v>224</v>
      </c>
      <c r="J6" s="4" t="s">
        <v>220</v>
      </c>
      <c r="K6" s="10" t="s">
        <v>231</v>
      </c>
      <c r="L6" s="4" t="s">
        <v>220</v>
      </c>
      <c r="M6" s="4" t="s">
        <v>220</v>
      </c>
      <c r="N6" s="4" t="s">
        <v>220</v>
      </c>
      <c r="O6" s="4" t="s">
        <v>220</v>
      </c>
    </row>
    <row r="7" spans="1:15" x14ac:dyDescent="0.35">
      <c r="A7" s="4">
        <v>6</v>
      </c>
      <c r="B7" s="4" t="s">
        <v>59</v>
      </c>
      <c r="C7" s="5" t="s">
        <v>60</v>
      </c>
      <c r="D7" s="5" t="s">
        <v>223</v>
      </c>
      <c r="E7" s="11">
        <v>46223</v>
      </c>
      <c r="F7" s="7">
        <v>36101</v>
      </c>
      <c r="G7" s="8">
        <f t="shared" si="0"/>
        <v>11</v>
      </c>
      <c r="H7" s="4" t="s">
        <v>218</v>
      </c>
      <c r="I7" s="12" t="s">
        <v>224</v>
      </c>
      <c r="J7" s="4" t="s">
        <v>220</v>
      </c>
      <c r="K7" s="10" t="s">
        <v>232</v>
      </c>
      <c r="L7" s="4" t="s">
        <v>220</v>
      </c>
      <c r="M7" s="4" t="s">
        <v>220</v>
      </c>
      <c r="N7" s="4" t="s">
        <v>220</v>
      </c>
      <c r="O7" s="4" t="s">
        <v>220</v>
      </c>
    </row>
    <row r="8" spans="1:15" x14ac:dyDescent="0.35">
      <c r="A8" s="4">
        <v>7</v>
      </c>
      <c r="B8" s="4" t="s">
        <v>233</v>
      </c>
      <c r="C8" s="5" t="s">
        <v>72</v>
      </c>
      <c r="D8" s="5" t="s">
        <v>234</v>
      </c>
      <c r="E8" s="11">
        <v>46174</v>
      </c>
      <c r="F8" s="7">
        <v>30398</v>
      </c>
      <c r="G8" s="8">
        <f t="shared" si="0"/>
        <v>3</v>
      </c>
      <c r="H8" s="4" t="s">
        <v>218</v>
      </c>
      <c r="I8" s="13" t="s">
        <v>235</v>
      </c>
      <c r="J8" s="4" t="s">
        <v>220</v>
      </c>
      <c r="K8" s="10" t="s">
        <v>236</v>
      </c>
      <c r="L8" s="4" t="s">
        <v>220</v>
      </c>
      <c r="M8" s="4" t="s">
        <v>220</v>
      </c>
      <c r="N8" s="4" t="s">
        <v>220</v>
      </c>
      <c r="O8" s="4" t="s">
        <v>220</v>
      </c>
    </row>
    <row r="9" spans="1:15" x14ac:dyDescent="0.35">
      <c r="A9" s="4">
        <v>8</v>
      </c>
      <c r="B9" s="4" t="s">
        <v>29</v>
      </c>
      <c r="C9" s="5" t="s">
        <v>30</v>
      </c>
      <c r="D9" s="5" t="s">
        <v>223</v>
      </c>
      <c r="E9" s="11">
        <v>46216</v>
      </c>
      <c r="F9" s="7">
        <v>35449</v>
      </c>
      <c r="G9" s="8">
        <f t="shared" si="0"/>
        <v>1</v>
      </c>
      <c r="H9" s="4" t="s">
        <v>218</v>
      </c>
      <c r="I9" s="13" t="s">
        <v>235</v>
      </c>
      <c r="J9" s="4" t="s">
        <v>220</v>
      </c>
      <c r="K9" s="10" t="s">
        <v>237</v>
      </c>
      <c r="L9" s="4" t="s">
        <v>220</v>
      </c>
      <c r="M9" s="4" t="s">
        <v>220</v>
      </c>
      <c r="N9" s="4" t="s">
        <v>220</v>
      </c>
      <c r="O9" s="4" t="s">
        <v>220</v>
      </c>
    </row>
    <row r="10" spans="1:15" x14ac:dyDescent="0.35">
      <c r="A10" s="4">
        <v>9</v>
      </c>
      <c r="B10" s="4" t="s">
        <v>7</v>
      </c>
      <c r="C10" s="5" t="s">
        <v>8</v>
      </c>
      <c r="D10" s="5" t="s">
        <v>223</v>
      </c>
      <c r="E10" s="11">
        <v>46216</v>
      </c>
      <c r="F10" s="7">
        <v>35879</v>
      </c>
      <c r="G10" s="8">
        <f t="shared" si="0"/>
        <v>3</v>
      </c>
      <c r="H10" s="4" t="s">
        <v>218</v>
      </c>
      <c r="I10" s="13" t="s">
        <v>235</v>
      </c>
      <c r="J10" s="4" t="s">
        <v>220</v>
      </c>
      <c r="K10" s="10" t="s">
        <v>238</v>
      </c>
      <c r="L10" s="4" t="s">
        <v>220</v>
      </c>
      <c r="M10" s="4" t="s">
        <v>220</v>
      </c>
      <c r="N10" s="4" t="s">
        <v>220</v>
      </c>
      <c r="O10" s="4" t="s">
        <v>220</v>
      </c>
    </row>
    <row r="11" spans="1:15" x14ac:dyDescent="0.35">
      <c r="A11" s="4">
        <v>10</v>
      </c>
      <c r="B11" s="4" t="s">
        <v>47</v>
      </c>
      <c r="C11" s="5" t="s">
        <v>239</v>
      </c>
      <c r="D11" s="5" t="s">
        <v>240</v>
      </c>
      <c r="E11" s="11">
        <v>46216</v>
      </c>
      <c r="F11" s="7">
        <v>36624</v>
      </c>
      <c r="G11" s="8">
        <f t="shared" si="0"/>
        <v>4</v>
      </c>
      <c r="H11" s="4" t="s">
        <v>218</v>
      </c>
      <c r="I11" s="13" t="s">
        <v>235</v>
      </c>
      <c r="J11" s="4" t="s">
        <v>220</v>
      </c>
      <c r="K11" s="10" t="s">
        <v>241</v>
      </c>
      <c r="L11" s="4" t="s">
        <v>220</v>
      </c>
      <c r="M11" s="4" t="s">
        <v>220</v>
      </c>
      <c r="N11" s="4" t="s">
        <v>220</v>
      </c>
      <c r="O11" s="4" t="s">
        <v>220</v>
      </c>
    </row>
    <row r="12" spans="1:15" x14ac:dyDescent="0.35">
      <c r="A12" s="4">
        <v>11</v>
      </c>
      <c r="B12" s="4" t="s">
        <v>27</v>
      </c>
      <c r="C12" s="5" t="s">
        <v>242</v>
      </c>
      <c r="D12" s="5" t="s">
        <v>223</v>
      </c>
      <c r="E12" s="11">
        <v>46216</v>
      </c>
      <c r="F12" s="7">
        <v>35582</v>
      </c>
      <c r="G12" s="8">
        <f t="shared" si="0"/>
        <v>6</v>
      </c>
      <c r="H12" s="4" t="s">
        <v>218</v>
      </c>
      <c r="I12" s="13" t="s">
        <v>235</v>
      </c>
      <c r="J12" s="4" t="s">
        <v>220</v>
      </c>
      <c r="K12" s="10" t="s">
        <v>243</v>
      </c>
      <c r="L12" s="4" t="s">
        <v>220</v>
      </c>
      <c r="M12" s="4" t="s">
        <v>220</v>
      </c>
      <c r="N12" s="4" t="s">
        <v>220</v>
      </c>
      <c r="O12" s="4" t="s">
        <v>220</v>
      </c>
    </row>
    <row r="13" spans="1:15" x14ac:dyDescent="0.35">
      <c r="A13" s="4">
        <v>12</v>
      </c>
      <c r="B13" s="4" t="s">
        <v>35</v>
      </c>
      <c r="C13" s="5" t="s">
        <v>36</v>
      </c>
      <c r="D13" s="5" t="s">
        <v>223</v>
      </c>
      <c r="E13" s="11">
        <v>46219</v>
      </c>
      <c r="F13" s="7">
        <v>36604</v>
      </c>
      <c r="G13" s="8">
        <f t="shared" si="0"/>
        <v>3</v>
      </c>
      <c r="H13" s="4" t="s">
        <v>218</v>
      </c>
      <c r="I13" s="13" t="s">
        <v>235</v>
      </c>
      <c r="J13" s="4" t="s">
        <v>220</v>
      </c>
      <c r="K13" s="10" t="s">
        <v>244</v>
      </c>
      <c r="L13" s="4" t="s">
        <v>220</v>
      </c>
      <c r="M13" s="4" t="s">
        <v>220</v>
      </c>
      <c r="N13" s="4" t="s">
        <v>220</v>
      </c>
      <c r="O13" s="4" t="s">
        <v>220</v>
      </c>
    </row>
    <row r="14" spans="1:15" x14ac:dyDescent="0.35">
      <c r="A14" s="4">
        <v>13</v>
      </c>
      <c r="B14" s="4" t="s">
        <v>245</v>
      </c>
      <c r="C14" s="5" t="s">
        <v>20</v>
      </c>
      <c r="D14" s="5" t="s">
        <v>223</v>
      </c>
      <c r="E14" s="11">
        <v>46219</v>
      </c>
      <c r="F14" s="7">
        <v>36888</v>
      </c>
      <c r="G14" s="8">
        <f t="shared" si="0"/>
        <v>12</v>
      </c>
      <c r="H14" s="4" t="s">
        <v>218</v>
      </c>
      <c r="I14" s="13" t="s">
        <v>235</v>
      </c>
      <c r="J14" s="4" t="s">
        <v>220</v>
      </c>
      <c r="K14" s="10" t="s">
        <v>246</v>
      </c>
      <c r="L14" s="4" t="s">
        <v>220</v>
      </c>
      <c r="M14" s="4" t="s">
        <v>220</v>
      </c>
      <c r="N14" s="4" t="s">
        <v>220</v>
      </c>
      <c r="O14" s="4" t="s">
        <v>220</v>
      </c>
    </row>
    <row r="15" spans="1:15" x14ac:dyDescent="0.35">
      <c r="A15" s="4">
        <v>14</v>
      </c>
      <c r="B15" s="4" t="s">
        <v>17</v>
      </c>
      <c r="C15" s="5" t="s">
        <v>18</v>
      </c>
      <c r="D15" s="5" t="s">
        <v>247</v>
      </c>
      <c r="E15" s="11">
        <v>46219</v>
      </c>
      <c r="F15" s="7">
        <v>35293</v>
      </c>
      <c r="G15" s="8">
        <f t="shared" si="0"/>
        <v>8</v>
      </c>
      <c r="H15" s="4" t="s">
        <v>218</v>
      </c>
      <c r="I15" s="13" t="s">
        <v>235</v>
      </c>
      <c r="J15" s="4" t="s">
        <v>220</v>
      </c>
      <c r="K15" s="10" t="s">
        <v>248</v>
      </c>
      <c r="L15" s="4" t="s">
        <v>220</v>
      </c>
      <c r="M15" s="4" t="s">
        <v>220</v>
      </c>
      <c r="N15" s="4" t="s">
        <v>220</v>
      </c>
      <c r="O15" s="4" t="s">
        <v>220</v>
      </c>
    </row>
    <row r="16" spans="1:15" x14ac:dyDescent="0.35">
      <c r="A16" s="4">
        <v>15</v>
      </c>
      <c r="B16" s="4" t="s">
        <v>15</v>
      </c>
      <c r="C16" s="5" t="s">
        <v>16</v>
      </c>
      <c r="D16" s="5" t="s">
        <v>240</v>
      </c>
      <c r="E16" s="11">
        <v>46219</v>
      </c>
      <c r="F16" s="7">
        <v>36660</v>
      </c>
      <c r="G16" s="8">
        <f t="shared" si="0"/>
        <v>5</v>
      </c>
      <c r="H16" s="4" t="s">
        <v>218</v>
      </c>
      <c r="I16" s="13" t="s">
        <v>235</v>
      </c>
      <c r="J16" s="4" t="s">
        <v>220</v>
      </c>
      <c r="K16" s="14" t="s">
        <v>249</v>
      </c>
      <c r="L16" s="4" t="s">
        <v>220</v>
      </c>
      <c r="M16" s="4" t="s">
        <v>220</v>
      </c>
      <c r="N16" s="4" t="s">
        <v>220</v>
      </c>
      <c r="O16" s="4" t="s">
        <v>220</v>
      </c>
    </row>
    <row r="17" spans="1:15" x14ac:dyDescent="0.35">
      <c r="A17" s="4">
        <v>16</v>
      </c>
      <c r="B17" s="4" t="s">
        <v>250</v>
      </c>
      <c r="C17" s="5" t="s">
        <v>65</v>
      </c>
      <c r="D17" s="5" t="s">
        <v>223</v>
      </c>
      <c r="E17" s="11">
        <v>46220</v>
      </c>
      <c r="F17" s="7">
        <v>36693</v>
      </c>
      <c r="G17" s="8">
        <f t="shared" si="0"/>
        <v>6</v>
      </c>
      <c r="H17" s="4" t="s">
        <v>218</v>
      </c>
      <c r="I17" s="13" t="s">
        <v>235</v>
      </c>
      <c r="J17" s="4" t="s">
        <v>220</v>
      </c>
      <c r="K17" s="10" t="s">
        <v>251</v>
      </c>
      <c r="L17" s="4" t="s">
        <v>220</v>
      </c>
      <c r="M17" s="4" t="s">
        <v>220</v>
      </c>
      <c r="N17" s="4" t="s">
        <v>220</v>
      </c>
      <c r="O17" s="4" t="s">
        <v>220</v>
      </c>
    </row>
    <row r="18" spans="1:15" x14ac:dyDescent="0.35">
      <c r="A18" s="4">
        <v>17</v>
      </c>
      <c r="B18" s="4" t="s">
        <v>9</v>
      </c>
      <c r="C18" s="5" t="s">
        <v>252</v>
      </c>
      <c r="D18" s="5" t="s">
        <v>223</v>
      </c>
      <c r="E18" s="11">
        <v>46220</v>
      </c>
      <c r="F18" s="7">
        <v>35453</v>
      </c>
      <c r="G18" s="8">
        <f t="shared" si="0"/>
        <v>1</v>
      </c>
      <c r="H18" s="4" t="s">
        <v>218</v>
      </c>
      <c r="I18" s="13" t="s">
        <v>235</v>
      </c>
      <c r="J18" s="4" t="s">
        <v>220</v>
      </c>
      <c r="K18" s="10" t="s">
        <v>253</v>
      </c>
      <c r="L18" s="4" t="s">
        <v>220</v>
      </c>
      <c r="M18" s="4" t="s">
        <v>220</v>
      </c>
      <c r="N18" s="4" t="s">
        <v>220</v>
      </c>
      <c r="O18" s="4" t="s">
        <v>220</v>
      </c>
    </row>
    <row r="19" spans="1:15" x14ac:dyDescent="0.35">
      <c r="A19" s="4">
        <v>18</v>
      </c>
      <c r="B19" s="4" t="s">
        <v>254</v>
      </c>
      <c r="C19" s="5" t="s">
        <v>255</v>
      </c>
      <c r="D19" s="5" t="s">
        <v>223</v>
      </c>
      <c r="E19" s="11">
        <v>46220</v>
      </c>
      <c r="F19" s="7">
        <v>35824</v>
      </c>
      <c r="G19" s="8">
        <f t="shared" si="0"/>
        <v>1</v>
      </c>
      <c r="H19" s="4" t="s">
        <v>218</v>
      </c>
      <c r="I19" s="13" t="s">
        <v>235</v>
      </c>
      <c r="J19" s="4" t="s">
        <v>220</v>
      </c>
      <c r="K19" s="10" t="s">
        <v>256</v>
      </c>
      <c r="L19" s="4" t="s">
        <v>220</v>
      </c>
      <c r="M19" s="4" t="s">
        <v>220</v>
      </c>
      <c r="N19" s="4" t="s">
        <v>220</v>
      </c>
      <c r="O19" s="4" t="s">
        <v>220</v>
      </c>
    </row>
    <row r="20" spans="1:15" x14ac:dyDescent="0.35">
      <c r="A20" s="4">
        <v>19</v>
      </c>
      <c r="B20" s="4" t="s">
        <v>257</v>
      </c>
      <c r="C20" s="5" t="s">
        <v>44</v>
      </c>
      <c r="D20" s="5" t="s">
        <v>223</v>
      </c>
      <c r="E20" s="11">
        <v>46220</v>
      </c>
      <c r="F20" s="7">
        <v>36774</v>
      </c>
      <c r="G20" s="8">
        <f t="shared" si="0"/>
        <v>9</v>
      </c>
      <c r="H20" s="4" t="s">
        <v>218</v>
      </c>
      <c r="I20" s="13" t="s">
        <v>235</v>
      </c>
      <c r="J20" s="4" t="s">
        <v>220</v>
      </c>
      <c r="K20" s="10" t="s">
        <v>258</v>
      </c>
      <c r="L20" s="4" t="s">
        <v>220</v>
      </c>
      <c r="M20" s="4" t="s">
        <v>220</v>
      </c>
      <c r="N20" s="4" t="s">
        <v>220</v>
      </c>
      <c r="O20" s="4" t="s">
        <v>220</v>
      </c>
    </row>
    <row r="21" spans="1:15" x14ac:dyDescent="0.35">
      <c r="A21" s="4">
        <v>20</v>
      </c>
      <c r="B21" s="4" t="s">
        <v>259</v>
      </c>
      <c r="C21" s="5" t="s">
        <v>260</v>
      </c>
      <c r="D21" s="5" t="s">
        <v>230</v>
      </c>
      <c r="E21" s="11">
        <v>46220</v>
      </c>
      <c r="F21" s="7">
        <v>31369</v>
      </c>
      <c r="G21" s="8">
        <f t="shared" si="0"/>
        <v>11</v>
      </c>
      <c r="H21" s="4" t="s">
        <v>218</v>
      </c>
      <c r="I21" s="13" t="s">
        <v>235</v>
      </c>
      <c r="J21" s="4" t="s">
        <v>220</v>
      </c>
      <c r="K21" s="10" t="s">
        <v>261</v>
      </c>
      <c r="L21" s="4" t="s">
        <v>220</v>
      </c>
      <c r="M21" s="4" t="s">
        <v>220</v>
      </c>
      <c r="N21" s="4" t="s">
        <v>220</v>
      </c>
      <c r="O21" s="4" t="s">
        <v>220</v>
      </c>
    </row>
    <row r="22" spans="1:15" x14ac:dyDescent="0.35">
      <c r="A22" s="4">
        <v>21</v>
      </c>
      <c r="B22" s="4" t="s">
        <v>262</v>
      </c>
      <c r="C22" s="5" t="s">
        <v>26</v>
      </c>
      <c r="D22" s="5" t="s">
        <v>223</v>
      </c>
      <c r="E22" s="11">
        <v>46220</v>
      </c>
      <c r="F22" s="7">
        <v>35141</v>
      </c>
      <c r="G22" s="8">
        <f t="shared" si="0"/>
        <v>3</v>
      </c>
      <c r="H22" s="4" t="s">
        <v>218</v>
      </c>
      <c r="I22" s="13" t="s">
        <v>235</v>
      </c>
      <c r="J22" s="4" t="s">
        <v>220</v>
      </c>
      <c r="K22" s="10" t="s">
        <v>263</v>
      </c>
      <c r="L22" s="4" t="s">
        <v>220</v>
      </c>
      <c r="M22" s="4" t="s">
        <v>220</v>
      </c>
      <c r="N22" s="4" t="s">
        <v>220</v>
      </c>
      <c r="O22" s="4" t="s">
        <v>220</v>
      </c>
    </row>
    <row r="23" spans="1:15" x14ac:dyDescent="0.35">
      <c r="A23" s="4">
        <v>22</v>
      </c>
      <c r="B23" s="4" t="s">
        <v>57</v>
      </c>
      <c r="C23" s="5" t="s">
        <v>58</v>
      </c>
      <c r="D23" s="5" t="s">
        <v>223</v>
      </c>
      <c r="E23" s="11">
        <v>46220</v>
      </c>
      <c r="F23" s="7">
        <v>36195</v>
      </c>
      <c r="G23" s="8">
        <f t="shared" si="0"/>
        <v>2</v>
      </c>
      <c r="H23" s="4" t="s">
        <v>218</v>
      </c>
      <c r="I23" s="13" t="s">
        <v>235</v>
      </c>
      <c r="J23" s="4" t="s">
        <v>220</v>
      </c>
      <c r="K23" s="10" t="s">
        <v>264</v>
      </c>
      <c r="L23" s="4" t="s">
        <v>220</v>
      </c>
      <c r="M23" s="4" t="s">
        <v>220</v>
      </c>
      <c r="N23" s="4" t="s">
        <v>220</v>
      </c>
      <c r="O23" s="4" t="s">
        <v>220</v>
      </c>
    </row>
    <row r="24" spans="1:15" x14ac:dyDescent="0.35">
      <c r="A24" s="4">
        <v>23</v>
      </c>
      <c r="B24" s="4" t="s">
        <v>45</v>
      </c>
      <c r="C24" s="5" t="s">
        <v>265</v>
      </c>
      <c r="D24" s="5" t="s">
        <v>223</v>
      </c>
      <c r="E24" s="11">
        <v>46220</v>
      </c>
      <c r="F24" s="7">
        <v>35437</v>
      </c>
      <c r="G24" s="8">
        <f t="shared" si="0"/>
        <v>1</v>
      </c>
      <c r="H24" s="4" t="s">
        <v>218</v>
      </c>
      <c r="I24" s="13" t="s">
        <v>235</v>
      </c>
      <c r="J24" s="4" t="s">
        <v>220</v>
      </c>
      <c r="K24" s="10" t="s">
        <v>266</v>
      </c>
      <c r="L24" s="4" t="s">
        <v>220</v>
      </c>
      <c r="M24" s="4" t="s">
        <v>220</v>
      </c>
      <c r="N24" s="4" t="s">
        <v>220</v>
      </c>
      <c r="O24" s="4" t="s">
        <v>220</v>
      </c>
    </row>
    <row r="25" spans="1:15" x14ac:dyDescent="0.35">
      <c r="A25" s="4">
        <v>24</v>
      </c>
      <c r="B25" s="4" t="s">
        <v>49</v>
      </c>
      <c r="C25" s="5" t="s">
        <v>50</v>
      </c>
      <c r="D25" s="5" t="s">
        <v>223</v>
      </c>
      <c r="E25" s="11">
        <v>46223</v>
      </c>
      <c r="F25" s="7">
        <v>36867</v>
      </c>
      <c r="G25" s="8">
        <f t="shared" si="0"/>
        <v>12</v>
      </c>
      <c r="H25" s="4" t="s">
        <v>218</v>
      </c>
      <c r="I25" s="13" t="s">
        <v>235</v>
      </c>
      <c r="J25" s="4" t="s">
        <v>220</v>
      </c>
      <c r="K25" s="10" t="s">
        <v>267</v>
      </c>
      <c r="L25" s="4" t="s">
        <v>220</v>
      </c>
      <c r="M25" s="4" t="s">
        <v>220</v>
      </c>
      <c r="N25" s="4" t="s">
        <v>220</v>
      </c>
      <c r="O25" s="4" t="s">
        <v>220</v>
      </c>
    </row>
    <row r="26" spans="1:15" x14ac:dyDescent="0.35">
      <c r="A26" s="4">
        <v>25</v>
      </c>
      <c r="B26" s="4" t="s">
        <v>268</v>
      </c>
      <c r="C26" s="5" t="s">
        <v>269</v>
      </c>
      <c r="D26" s="5" t="s">
        <v>230</v>
      </c>
      <c r="E26" s="11">
        <v>46223</v>
      </c>
      <c r="F26" s="7">
        <v>29345</v>
      </c>
      <c r="G26" s="8">
        <f t="shared" si="0"/>
        <v>5</v>
      </c>
      <c r="H26" s="4" t="s">
        <v>218</v>
      </c>
      <c r="I26" s="13" t="s">
        <v>235</v>
      </c>
      <c r="J26" s="4" t="s">
        <v>220</v>
      </c>
      <c r="K26" s="10" t="s">
        <v>270</v>
      </c>
      <c r="L26" s="4" t="s">
        <v>220</v>
      </c>
      <c r="M26" s="4" t="s">
        <v>220</v>
      </c>
      <c r="N26" s="4" t="s">
        <v>220</v>
      </c>
      <c r="O26" s="4" t="s">
        <v>220</v>
      </c>
    </row>
    <row r="27" spans="1:15" x14ac:dyDescent="0.35">
      <c r="A27" s="4">
        <v>26</v>
      </c>
      <c r="B27" s="4" t="s">
        <v>271</v>
      </c>
      <c r="C27" s="5" t="s">
        <v>272</v>
      </c>
      <c r="D27" s="5" t="s">
        <v>223</v>
      </c>
      <c r="E27" s="11">
        <v>46223</v>
      </c>
      <c r="F27" s="7">
        <v>36530</v>
      </c>
      <c r="G27" s="8">
        <f t="shared" si="0"/>
        <v>1</v>
      </c>
      <c r="H27" s="4" t="s">
        <v>218</v>
      </c>
      <c r="I27" s="13" t="s">
        <v>235</v>
      </c>
      <c r="J27" s="4" t="s">
        <v>220</v>
      </c>
      <c r="K27" s="10" t="s">
        <v>273</v>
      </c>
      <c r="L27" s="4" t="s">
        <v>220</v>
      </c>
      <c r="M27" s="4" t="s">
        <v>220</v>
      </c>
      <c r="N27" s="4" t="s">
        <v>220</v>
      </c>
      <c r="O27" s="4" t="s">
        <v>220</v>
      </c>
    </row>
    <row r="28" spans="1:15" x14ac:dyDescent="0.35">
      <c r="A28" s="4">
        <v>27</v>
      </c>
      <c r="B28" s="4" t="s">
        <v>274</v>
      </c>
      <c r="C28" s="5" t="s">
        <v>275</v>
      </c>
      <c r="D28" s="5" t="s">
        <v>223</v>
      </c>
      <c r="E28" s="11">
        <v>46223</v>
      </c>
      <c r="F28" s="7">
        <v>34307</v>
      </c>
      <c r="G28" s="8">
        <f t="shared" si="0"/>
        <v>12</v>
      </c>
      <c r="H28" s="4" t="s">
        <v>218</v>
      </c>
      <c r="I28" s="13" t="s">
        <v>235</v>
      </c>
      <c r="J28" s="4" t="s">
        <v>220</v>
      </c>
      <c r="K28" s="10" t="s">
        <v>276</v>
      </c>
      <c r="L28" s="4" t="s">
        <v>220</v>
      </c>
      <c r="M28" s="4" t="s">
        <v>220</v>
      </c>
      <c r="N28" s="4" t="s">
        <v>220</v>
      </c>
      <c r="O28" s="4" t="s">
        <v>220</v>
      </c>
    </row>
    <row r="29" spans="1:15" x14ac:dyDescent="0.35">
      <c r="A29" s="4">
        <v>28</v>
      </c>
      <c r="B29" s="4" t="s">
        <v>277</v>
      </c>
      <c r="C29" s="5" t="s">
        <v>145</v>
      </c>
      <c r="D29" s="5" t="s">
        <v>223</v>
      </c>
      <c r="E29" s="11">
        <v>46219</v>
      </c>
      <c r="F29" s="7">
        <v>32512</v>
      </c>
      <c r="G29" s="8">
        <f t="shared" si="0"/>
        <v>1</v>
      </c>
      <c r="H29" s="4" t="s">
        <v>218</v>
      </c>
      <c r="I29" s="15" t="s">
        <v>278</v>
      </c>
      <c r="J29" s="4" t="s">
        <v>220</v>
      </c>
      <c r="K29" s="10" t="s">
        <v>279</v>
      </c>
      <c r="L29" s="4" t="s">
        <v>220</v>
      </c>
      <c r="M29" s="4" t="s">
        <v>220</v>
      </c>
      <c r="N29" s="4" t="s">
        <v>220</v>
      </c>
      <c r="O29" s="4" t="s">
        <v>220</v>
      </c>
    </row>
    <row r="30" spans="1:15" x14ac:dyDescent="0.35">
      <c r="A30" s="4">
        <v>29</v>
      </c>
      <c r="B30" s="4" t="s">
        <v>55</v>
      </c>
      <c r="C30" s="5" t="s">
        <v>280</v>
      </c>
      <c r="D30" s="5" t="s">
        <v>223</v>
      </c>
      <c r="E30" s="11">
        <v>46220</v>
      </c>
      <c r="F30" s="7">
        <v>34403</v>
      </c>
      <c r="G30" s="8">
        <f t="shared" si="0"/>
        <v>3</v>
      </c>
      <c r="H30" s="4" t="s">
        <v>218</v>
      </c>
      <c r="I30" s="15" t="s">
        <v>278</v>
      </c>
      <c r="J30" s="4" t="s">
        <v>220</v>
      </c>
      <c r="K30" s="10" t="s">
        <v>281</v>
      </c>
      <c r="L30" s="4" t="s">
        <v>220</v>
      </c>
      <c r="M30" s="4" t="s">
        <v>220</v>
      </c>
      <c r="N30" s="4" t="s">
        <v>220</v>
      </c>
      <c r="O30" s="4" t="s">
        <v>220</v>
      </c>
    </row>
    <row r="31" spans="1:15" x14ac:dyDescent="0.35">
      <c r="A31" s="4">
        <v>30</v>
      </c>
      <c r="B31" s="4" t="s">
        <v>51</v>
      </c>
      <c r="C31" s="5" t="s">
        <v>52</v>
      </c>
      <c r="D31" s="5" t="s">
        <v>240</v>
      </c>
      <c r="E31" s="11">
        <v>46226</v>
      </c>
      <c r="F31" s="7">
        <v>36939</v>
      </c>
      <c r="G31" s="8">
        <f t="shared" si="0"/>
        <v>2</v>
      </c>
      <c r="H31" s="4" t="s">
        <v>218</v>
      </c>
      <c r="I31" s="15" t="s">
        <v>278</v>
      </c>
      <c r="J31" s="16" t="s">
        <v>220</v>
      </c>
      <c r="K31" s="10" t="s">
        <v>282</v>
      </c>
      <c r="L31" s="4" t="s">
        <v>220</v>
      </c>
      <c r="M31" s="4" t="s">
        <v>220</v>
      </c>
      <c r="N31" s="4" t="s">
        <v>220</v>
      </c>
      <c r="O31" s="4" t="s">
        <v>220</v>
      </c>
    </row>
    <row r="32" spans="1:15" x14ac:dyDescent="0.35">
      <c r="A32" s="4">
        <v>31</v>
      </c>
      <c r="B32" s="4" t="s">
        <v>283</v>
      </c>
      <c r="C32" s="5" t="s">
        <v>284</v>
      </c>
      <c r="D32" s="5" t="s">
        <v>230</v>
      </c>
      <c r="E32" s="6">
        <v>46237</v>
      </c>
      <c r="F32" s="7">
        <v>36297</v>
      </c>
      <c r="G32" s="8">
        <f t="shared" si="0"/>
        <v>5</v>
      </c>
      <c r="H32" s="9" t="s">
        <v>218</v>
      </c>
      <c r="I32" s="15" t="s">
        <v>278</v>
      </c>
      <c r="J32" s="4" t="s">
        <v>220</v>
      </c>
      <c r="K32" s="10" t="s">
        <v>285</v>
      </c>
      <c r="L32" s="4" t="s">
        <v>220</v>
      </c>
      <c r="M32" s="4" t="s">
        <v>220</v>
      </c>
      <c r="N32" s="4" t="s">
        <v>220</v>
      </c>
      <c r="O32" s="4" t="s">
        <v>220</v>
      </c>
    </row>
    <row r="33" spans="1:15" x14ac:dyDescent="0.35">
      <c r="A33" s="4">
        <v>32</v>
      </c>
      <c r="B33" s="4" t="s">
        <v>1</v>
      </c>
      <c r="C33" s="5" t="s">
        <v>2</v>
      </c>
      <c r="D33" s="5" t="s">
        <v>230</v>
      </c>
      <c r="E33" s="6">
        <v>46251</v>
      </c>
      <c r="F33" s="7">
        <v>33270</v>
      </c>
      <c r="G33" s="8">
        <f t="shared" si="0"/>
        <v>2</v>
      </c>
      <c r="H33" s="9" t="s">
        <v>218</v>
      </c>
      <c r="I33" s="15" t="s">
        <v>278</v>
      </c>
      <c r="J33" s="4" t="s">
        <v>220</v>
      </c>
      <c r="K33" s="10" t="s">
        <v>286</v>
      </c>
      <c r="L33" s="4" t="s">
        <v>287</v>
      </c>
      <c r="M33" s="4" t="s">
        <v>287</v>
      </c>
      <c r="N33" s="4" t="s">
        <v>287</v>
      </c>
      <c r="O33" s="4" t="s">
        <v>287</v>
      </c>
    </row>
    <row r="34" spans="1:15" x14ac:dyDescent="0.35">
      <c r="A34" s="4">
        <v>33</v>
      </c>
      <c r="B34" s="4" t="s">
        <v>37</v>
      </c>
      <c r="C34" s="5" t="s">
        <v>38</v>
      </c>
      <c r="D34" s="5" t="s">
        <v>230</v>
      </c>
      <c r="E34" s="11">
        <v>46216</v>
      </c>
      <c r="F34" s="7">
        <v>34420</v>
      </c>
      <c r="G34" s="8">
        <f t="shared" si="0"/>
        <v>3</v>
      </c>
      <c r="H34" s="4" t="s">
        <v>218</v>
      </c>
      <c r="I34" s="17" t="s">
        <v>288</v>
      </c>
      <c r="J34" s="4" t="s">
        <v>220</v>
      </c>
      <c r="K34" s="10" t="s">
        <v>289</v>
      </c>
      <c r="L34" s="4" t="s">
        <v>220</v>
      </c>
      <c r="M34" s="4" t="s">
        <v>220</v>
      </c>
      <c r="N34" s="4" t="s">
        <v>220</v>
      </c>
      <c r="O34" s="4" t="s">
        <v>220</v>
      </c>
    </row>
    <row r="35" spans="1:15" x14ac:dyDescent="0.35">
      <c r="A35" s="4">
        <v>34</v>
      </c>
      <c r="B35" s="4" t="s">
        <v>290</v>
      </c>
      <c r="C35" s="5" t="s">
        <v>24</v>
      </c>
      <c r="D35" s="5" t="s">
        <v>230</v>
      </c>
      <c r="E35" s="11">
        <v>46219</v>
      </c>
      <c r="F35" s="7">
        <v>35359</v>
      </c>
      <c r="G35" s="8">
        <f t="shared" si="0"/>
        <v>10</v>
      </c>
      <c r="H35" s="4" t="s">
        <v>218</v>
      </c>
      <c r="I35" s="17" t="s">
        <v>288</v>
      </c>
      <c r="J35" s="4" t="s">
        <v>220</v>
      </c>
      <c r="K35" s="10" t="s">
        <v>291</v>
      </c>
      <c r="L35" s="4" t="s">
        <v>220</v>
      </c>
      <c r="M35" s="4" t="s">
        <v>220</v>
      </c>
      <c r="N35" s="4" t="s">
        <v>220</v>
      </c>
      <c r="O35" s="4" t="s">
        <v>220</v>
      </c>
    </row>
    <row r="36" spans="1:15" x14ac:dyDescent="0.35">
      <c r="A36" s="4">
        <v>35</v>
      </c>
      <c r="B36" s="4" t="s">
        <v>11</v>
      </c>
      <c r="C36" s="5" t="s">
        <v>292</v>
      </c>
      <c r="D36" s="5" t="s">
        <v>240</v>
      </c>
      <c r="E36" s="11">
        <v>46219</v>
      </c>
      <c r="F36" s="7">
        <v>37340</v>
      </c>
      <c r="G36" s="8">
        <f t="shared" si="0"/>
        <v>3</v>
      </c>
      <c r="H36" s="4" t="s">
        <v>218</v>
      </c>
      <c r="I36" s="17" t="s">
        <v>288</v>
      </c>
      <c r="J36" s="4" t="s">
        <v>220</v>
      </c>
      <c r="K36" s="10" t="s">
        <v>293</v>
      </c>
      <c r="L36" s="4" t="s">
        <v>220</v>
      </c>
      <c r="M36" s="4" t="s">
        <v>220</v>
      </c>
      <c r="N36" s="4" t="s">
        <v>220</v>
      </c>
      <c r="O36" s="4" t="s">
        <v>220</v>
      </c>
    </row>
    <row r="37" spans="1:15" x14ac:dyDescent="0.35">
      <c r="A37" s="4">
        <v>36</v>
      </c>
      <c r="B37" s="4" t="s">
        <v>21</v>
      </c>
      <c r="C37" s="5" t="s">
        <v>22</v>
      </c>
      <c r="D37" s="5" t="s">
        <v>223</v>
      </c>
      <c r="E37" s="11">
        <v>46220</v>
      </c>
      <c r="F37" s="7">
        <v>35961</v>
      </c>
      <c r="G37" s="8">
        <f t="shared" si="0"/>
        <v>6</v>
      </c>
      <c r="H37" s="4" t="s">
        <v>218</v>
      </c>
      <c r="I37" s="17" t="s">
        <v>288</v>
      </c>
      <c r="J37" s="4" t="s">
        <v>220</v>
      </c>
      <c r="K37" s="10" t="s">
        <v>294</v>
      </c>
      <c r="L37" s="4" t="s">
        <v>220</v>
      </c>
      <c r="M37" s="4" t="s">
        <v>220</v>
      </c>
      <c r="N37" s="4" t="s">
        <v>220</v>
      </c>
      <c r="O37" s="4" t="s">
        <v>220</v>
      </c>
    </row>
    <row r="38" spans="1:15" x14ac:dyDescent="0.35">
      <c r="A38" s="4">
        <v>37</v>
      </c>
      <c r="B38" s="4" t="s">
        <v>53</v>
      </c>
      <c r="C38" s="5" t="s">
        <v>54</v>
      </c>
      <c r="D38" s="5" t="s">
        <v>223</v>
      </c>
      <c r="E38" s="11">
        <v>46220</v>
      </c>
      <c r="F38" s="7">
        <v>34093</v>
      </c>
      <c r="G38" s="8">
        <f t="shared" si="0"/>
        <v>5</v>
      </c>
      <c r="H38" s="4" t="s">
        <v>218</v>
      </c>
      <c r="I38" s="17" t="s">
        <v>288</v>
      </c>
      <c r="J38" s="4" t="s">
        <v>220</v>
      </c>
      <c r="K38" s="10" t="s">
        <v>295</v>
      </c>
      <c r="L38" s="4" t="s">
        <v>220</v>
      </c>
      <c r="M38" s="4" t="s">
        <v>220</v>
      </c>
      <c r="N38" s="4" t="s">
        <v>220</v>
      </c>
      <c r="O38" s="4" t="s">
        <v>220</v>
      </c>
    </row>
    <row r="39" spans="1:15" x14ac:dyDescent="0.35">
      <c r="A39" s="4">
        <v>38</v>
      </c>
      <c r="B39" s="4" t="s">
        <v>3</v>
      </c>
      <c r="C39" s="5" t="s">
        <v>296</v>
      </c>
      <c r="D39" s="5" t="s">
        <v>223</v>
      </c>
      <c r="E39" s="11">
        <v>46230</v>
      </c>
      <c r="F39" s="7">
        <v>33857</v>
      </c>
      <c r="G39" s="8">
        <f t="shared" si="0"/>
        <v>9</v>
      </c>
      <c r="H39" s="4" t="s">
        <v>218</v>
      </c>
      <c r="I39" s="17" t="s">
        <v>288</v>
      </c>
      <c r="J39" s="16" t="s">
        <v>220</v>
      </c>
      <c r="K39" s="10" t="s">
        <v>297</v>
      </c>
      <c r="L39" s="4" t="s">
        <v>220</v>
      </c>
      <c r="M39" s="4" t="s">
        <v>220</v>
      </c>
      <c r="N39" s="4" t="s">
        <v>220</v>
      </c>
      <c r="O39" s="4" t="s">
        <v>220</v>
      </c>
    </row>
    <row r="40" spans="1:15" x14ac:dyDescent="0.35">
      <c r="A40" s="4">
        <v>39</v>
      </c>
      <c r="B40" s="4" t="s">
        <v>61</v>
      </c>
      <c r="C40" s="5" t="s">
        <v>62</v>
      </c>
      <c r="D40" s="5" t="s">
        <v>298</v>
      </c>
      <c r="E40" s="11">
        <v>46184</v>
      </c>
      <c r="F40" s="7">
        <v>29950</v>
      </c>
      <c r="G40" s="8">
        <f t="shared" si="0"/>
        <v>12</v>
      </c>
      <c r="H40" s="4" t="s">
        <v>218</v>
      </c>
      <c r="I40" s="4" t="s">
        <v>299</v>
      </c>
      <c r="J40" s="4" t="s">
        <v>220</v>
      </c>
      <c r="K40" s="10" t="s">
        <v>300</v>
      </c>
      <c r="L40" s="4" t="s">
        <v>220</v>
      </c>
      <c r="M40" s="4" t="s">
        <v>220</v>
      </c>
      <c r="N40" s="4" t="s">
        <v>220</v>
      </c>
      <c r="O40" s="4" t="s">
        <v>220</v>
      </c>
    </row>
  </sheetData>
  <conditionalFormatting sqref="H2:H40">
    <cfRule type="cellIs" dxfId="21" priority="26" operator="equal">
      <formula>$I$39</formula>
    </cfRule>
  </conditionalFormatting>
  <conditionalFormatting sqref="H38:H40">
    <cfRule type="cellIs" dxfId="20" priority="11" operator="equal">
      <formula>$I$35</formula>
    </cfRule>
  </conditionalFormatting>
  <conditionalFormatting sqref="H2:K3 H4:I37">
    <cfRule type="cellIs" dxfId="19" priority="20" operator="equal">
      <formula>$I$35</formula>
    </cfRule>
  </conditionalFormatting>
  <conditionalFormatting sqref="I40">
    <cfRule type="cellIs" dxfId="18" priority="7" operator="equal">
      <formula>$I$35</formula>
    </cfRule>
  </conditionalFormatting>
  <conditionalFormatting sqref="I40:K40">
    <cfRule type="cellIs" dxfId="17" priority="8" operator="equal">
      <formula>$I$39</formula>
    </cfRule>
  </conditionalFormatting>
  <conditionalFormatting sqref="J34:J40">
    <cfRule type="cellIs" dxfId="16" priority="12" operator="equal">
      <formula>$I$35</formula>
    </cfRule>
  </conditionalFormatting>
  <conditionalFormatting sqref="J4:K30 J31:J40 I2:K3 I4:I37">
    <cfRule type="cellIs" dxfId="15" priority="25" operator="equal">
      <formula>$I$39</formula>
    </cfRule>
  </conditionalFormatting>
  <conditionalFormatting sqref="J4:K33">
    <cfRule type="cellIs" dxfId="14" priority="23" operator="equal">
      <formula>$I$35</formula>
    </cfRule>
  </conditionalFormatting>
  <conditionalFormatting sqref="J31:K39">
    <cfRule type="cellIs" dxfId="13" priority="22" operator="equal">
      <formula>$I$39</formula>
    </cfRule>
  </conditionalFormatting>
  <conditionalFormatting sqref="K1:K40">
    <cfRule type="duplicateValues" dxfId="12" priority="13"/>
  </conditionalFormatting>
  <conditionalFormatting sqref="K4">
    <cfRule type="cellIs" dxfId="11" priority="14" operator="equal">
      <formula>$I$35</formula>
    </cfRule>
  </conditionalFormatting>
  <conditionalFormatting sqref="K34">
    <cfRule type="cellIs" dxfId="10" priority="24" operator="equal">
      <formula>$I$35</formula>
    </cfRule>
  </conditionalFormatting>
  <conditionalFormatting sqref="K35:K40">
    <cfRule type="cellIs" dxfId="9" priority="18" operator="equal">
      <formula>$I$35</formula>
    </cfRule>
  </conditionalFormatting>
  <conditionalFormatting sqref="K36:K40">
    <cfRule type="cellIs" dxfId="8" priority="19" operator="equal">
      <formula>$I$39</formula>
    </cfRule>
  </conditionalFormatting>
  <conditionalFormatting sqref="L2:M39">
    <cfRule type="cellIs" dxfId="7" priority="16" operator="equal">
      <formula>$I$35</formula>
    </cfRule>
    <cfRule type="cellIs" dxfId="6" priority="17" operator="equal">
      <formula>$I$39</formula>
    </cfRule>
  </conditionalFormatting>
  <conditionalFormatting sqref="L40:O40">
    <cfRule type="cellIs" dxfId="5" priority="9" operator="equal">
      <formula>$I$35</formula>
    </cfRule>
    <cfRule type="cellIs" dxfId="4" priority="10" operator="equal">
      <formula>$I$39</formula>
    </cfRule>
  </conditionalFormatting>
  <conditionalFormatting sqref="M31:M40">
    <cfRule type="cellIs" dxfId="3" priority="15" operator="equal">
      <formula>$I$39</formula>
    </cfRule>
  </conditionalFormatting>
  <conditionalFormatting sqref="N2:O39">
    <cfRule type="cellIs" dxfId="2" priority="2" operator="equal">
      <formula>$I$35</formula>
    </cfRule>
    <cfRule type="cellIs" dxfId="1" priority="3" operator="equal">
      <formula>$I$39</formula>
    </cfRule>
  </conditionalFormatting>
  <conditionalFormatting sqref="N31:O40">
    <cfRule type="cellIs" dxfId="0" priority="1" operator="equal">
      <formula>$I$39</formula>
    </cfRule>
  </conditionalFormatting>
  <dataValidations count="1">
    <dataValidation type="list" allowBlank="1" showInputMessage="1" showErrorMessage="1" sqref="J4:J39 L2:O39" xr:uid="{1D56748E-B41F-4F91-836D-07DDF10A294D}">
      <formula1>"Yes,No"</formula1>
    </dataValidation>
  </dataValidations>
  <hyperlinks>
    <hyperlink ref="K24" r:id="rId1" xr:uid="{EB643299-1EDC-48E3-8F33-885ECCC76207}"/>
    <hyperlink ref="K13" r:id="rId2" xr:uid="{9880CFFE-34BC-499E-A91D-9F9FD4FFD2BA}"/>
    <hyperlink ref="K40" r:id="rId3" xr:uid="{602CC7C8-412B-4F2D-97B9-9A2A99A723C5}"/>
    <hyperlink ref="K8" r:id="rId4" xr:uid="{1AEAAB8C-E6D5-474E-AB0D-2AFA72611D46}"/>
    <hyperlink ref="K14" r:id="rId5" xr:uid="{BCD4F637-58F9-4D94-94CB-3C2AE544FD06}"/>
    <hyperlink ref="K31" r:id="rId6" xr:uid="{D7289029-0057-43F5-90DB-39E61BBFD83F}"/>
    <hyperlink ref="K39" r:id="rId7" xr:uid="{3B9E50A7-E1BC-4630-BA6A-BF3497D5239D}"/>
    <hyperlink ref="K9" r:id="rId8" xr:uid="{687D82C9-FE3A-4168-A51B-DAF3D68FE4C0}"/>
    <hyperlink ref="K17" r:id="rId9" xr:uid="{A0CB8679-8880-420E-8BB6-44D37C703A74}"/>
    <hyperlink ref="K32" r:id="rId10" display="mailto:vinodh.b@aon.com" xr:uid="{DB61FD82-2A2A-453E-839E-D48C61572A73}"/>
    <hyperlink ref="K2" r:id="rId11" display="mailto:himanshu.lohani@aon.com" xr:uid="{4A998D13-3906-4ADD-B9E0-3396EAF64A80}"/>
    <hyperlink ref="K33" r:id="rId12" xr:uid="{2BFA1378-8CDB-4A72-82D1-CE585F3E6911}"/>
    <hyperlink ref="K16" r:id="rId13" xr:uid="{AC490561-1122-4A5F-AE6C-624D34D070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Employee Contacts</vt:lpstr>
      <vt:lpstr>Employee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Jugan S P</dc:creator>
  <cp:lastModifiedBy>Jugan S P</cp:lastModifiedBy>
  <dcterms:created xsi:type="dcterms:W3CDTF">2015-06-05T18:17:20Z</dcterms:created>
  <dcterms:modified xsi:type="dcterms:W3CDTF">2026-09-28T18:09:20Z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2026-08-20T15:17:01Z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eb95d7a1-b496-40b0-909d-65fe9f40e679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